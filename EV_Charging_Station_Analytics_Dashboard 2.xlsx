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773801682144ae7a/Documents/"/>
    </mc:Choice>
  </mc:AlternateContent>
  <xr:revisionPtr revIDLastSave="2821" documentId="8_{02A322AC-4223-4CBC-B16F-D1718E38CA9E}" xr6:coauthVersionLast="47" xr6:coauthVersionMax="47" xr10:uidLastSave="{B386CAF4-2A7F-4F02-A2F3-02202A081A9C}"/>
  <bookViews>
    <workbookView xWindow="-108" yWindow="-108" windowWidth="23256" windowHeight="12456" activeTab="2" xr2:uid="{00000000-000D-0000-FFFF-FFFF00000000}"/>
  </bookViews>
  <sheets>
    <sheet name="EV Charging Data" sheetId="1" r:id="rId1"/>
    <sheet name="Sheet1" sheetId="4" r:id="rId2"/>
    <sheet name="Sheet2" sheetId="5" r:id="rId3"/>
    <sheet name="Dashboard Plan" sheetId="2" r:id="rId4"/>
    <sheet name="Filter Lists" sheetId="3" r:id="rId5"/>
  </sheets>
  <definedNames>
    <definedName name="_xlnm._FilterDatabase" localSheetId="4" hidden="1">'Filter Lists'!$C$1:$C$11</definedName>
    <definedName name="Slicer_Charger_Type">#N/A</definedName>
    <definedName name="Slicer_City">#N/A</definedName>
    <definedName name="Slicer_Payment_Mode">#N/A</definedName>
    <definedName name="Slicer_Station_Type">#N/A</definedName>
    <definedName name="Slicer_Vehicle_Type">#N/A</definedName>
  </definedNames>
  <calcPr calcId="191029"/>
  <pivotCaches>
    <pivotCache cacheId="1" r:id="rId6"/>
  </pivotCaches>
  <extLst>
    <ext xmlns:x14="http://schemas.microsoft.com/office/spreadsheetml/2009/9/main" uri="{BBE1A952-AA13-448e-AADC-164F8A28A991}">
      <x14:slicerCaches>
        <x14:slicerCache r:id="rId7"/>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 i="2" l="1"/>
  <c r="D5" i="2"/>
  <c r="D4" i="2"/>
  <c r="D3" i="2"/>
  <c r="D2" i="2"/>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<sst xmlns="http://schemas.openxmlformats.org/spreadsheetml/2006/main" count="1612" uniqueCount="323">
  <si>
    <t>Session ID</t>
  </si>
  <si>
    <t>Date</t>
  </si>
  <si>
    <t>City</t>
  </si>
  <si>
    <t>State</t>
  </si>
  <si>
    <t>Station ID</t>
  </si>
  <si>
    <t>Station Type</t>
  </si>
  <si>
    <t>Charger Type</t>
  </si>
  <si>
    <t>Connector</t>
  </si>
  <si>
    <t>Vehicle Type</t>
  </si>
  <si>
    <t>Power (kW)</t>
  </si>
  <si>
    <t>Charging Duration (min)</t>
  </si>
  <si>
    <t>Energy Delivered (kWh)</t>
  </si>
  <si>
    <t>Payment Mode</t>
  </si>
  <si>
    <t>Session Status</t>
  </si>
  <si>
    <t>Revenue (₹)</t>
  </si>
  <si>
    <t>Station Utilization %</t>
  </si>
  <si>
    <t>Month</t>
  </si>
  <si>
    <t>Target Revenue (₹)</t>
  </si>
  <si>
    <t>Target Status</t>
  </si>
  <si>
    <t>EVTX0001</t>
  </si>
  <si>
    <t>Hyderabad</t>
  </si>
  <si>
    <t>Telangana</t>
  </si>
  <si>
    <t>EV-HYD-02</t>
  </si>
  <si>
    <t>Public</t>
  </si>
  <si>
    <t>AC</t>
  </si>
  <si>
    <t>Type 2</t>
  </si>
  <si>
    <t>Electric Car</t>
  </si>
  <si>
    <t>Card</t>
  </si>
  <si>
    <t>Completed</t>
  </si>
  <si>
    <t>Mar</t>
  </si>
  <si>
    <t>Below Target</t>
  </si>
  <si>
    <t>EVTX0002</t>
  </si>
  <si>
    <t>Pune</t>
  </si>
  <si>
    <t>Maharashtra</t>
  </si>
  <si>
    <t>EV-PUN-15</t>
  </si>
  <si>
    <t>Mall</t>
  </si>
  <si>
    <t>DC Ultra Fast</t>
  </si>
  <si>
    <t>CCS2</t>
  </si>
  <si>
    <t>Electric 2-Wheeler</t>
  </si>
  <si>
    <t>Failed</t>
  </si>
  <si>
    <t>May</t>
  </si>
  <si>
    <t>Target Achieved</t>
  </si>
  <si>
    <t>EVTX0003</t>
  </si>
  <si>
    <t>Bengaluru</t>
  </si>
  <si>
    <t>Karnataka</t>
  </si>
  <si>
    <t>EV-BEN-11</t>
  </si>
  <si>
    <t>Residential</t>
  </si>
  <si>
    <t>DC Fast</t>
  </si>
  <si>
    <t>CHAdeMO</t>
  </si>
  <si>
    <t>Apr</t>
  </si>
  <si>
    <t>EVTX0004</t>
  </si>
  <si>
    <t>Delhi</t>
  </si>
  <si>
    <t>EV-DEL-03</t>
  </si>
  <si>
    <t>Electric SUV</t>
  </si>
  <si>
    <t>UPI</t>
  </si>
  <si>
    <t>EVTX0005</t>
  </si>
  <si>
    <t>Kochi</t>
  </si>
  <si>
    <t>Kerala</t>
  </si>
  <si>
    <t>EV-KOC-13</t>
  </si>
  <si>
    <t>Jan</t>
  </si>
  <si>
    <t>EVTX0006</t>
  </si>
  <si>
    <t>Mumbai</t>
  </si>
  <si>
    <t>EV-MUM-24</t>
  </si>
  <si>
    <t>Office</t>
  </si>
  <si>
    <t>Wallet</t>
  </si>
  <si>
    <t>EVTX0007</t>
  </si>
  <si>
    <t>EV-DEL-15</t>
  </si>
  <si>
    <t>EVTX0008</t>
  </si>
  <si>
    <t>EV-PUN-32</t>
  </si>
  <si>
    <t>EVTX0009</t>
  </si>
  <si>
    <t>EV-KOC-26</t>
  </si>
  <si>
    <t>App</t>
  </si>
  <si>
    <t>EVTX0010</t>
  </si>
  <si>
    <t>EV-KOC-05</t>
  </si>
  <si>
    <t>EVTX0011</t>
  </si>
  <si>
    <t>EV-DEL-22</t>
  </si>
  <si>
    <t>EVTX0012</t>
  </si>
  <si>
    <t>Ahmedabad</t>
  </si>
  <si>
    <t>Gujarat</t>
  </si>
  <si>
    <t>EV-AHM-13</t>
  </si>
  <si>
    <t>Feb</t>
  </si>
  <si>
    <t>EVTX0013</t>
  </si>
  <si>
    <t>EV-DEL-16</t>
  </si>
  <si>
    <t>Highway</t>
  </si>
  <si>
    <t>EVTX0014</t>
  </si>
  <si>
    <t>Noida</t>
  </si>
  <si>
    <t>Uttar Pradesh</t>
  </si>
  <si>
    <t>EV-NOI-11</t>
  </si>
  <si>
    <t>EVTX0015</t>
  </si>
  <si>
    <t>EV-HYD-16</t>
  </si>
  <si>
    <t>EVTX0016</t>
  </si>
  <si>
    <t>EV-HYD-04</t>
  </si>
  <si>
    <t>EVTX0017</t>
  </si>
  <si>
    <t>EV-KOC-31</t>
  </si>
  <si>
    <t>EVTX0018</t>
  </si>
  <si>
    <t>EVTX0019</t>
  </si>
  <si>
    <t>EV-PUN-05</t>
  </si>
  <si>
    <t>EVTX0020</t>
  </si>
  <si>
    <t>Cancelled</t>
  </si>
  <si>
    <t>EVTX0021</t>
  </si>
  <si>
    <t>EV-NOI-10</t>
  </si>
  <si>
    <t>EVTX0022</t>
  </si>
  <si>
    <t>EV-MUM-04</t>
  </si>
  <si>
    <t>EVTX0023</t>
  </si>
  <si>
    <t>EV-PUN-03</t>
  </si>
  <si>
    <t>EVTX0024</t>
  </si>
  <si>
    <t>EV-BEN-30</t>
  </si>
  <si>
    <t>EVTX0025</t>
  </si>
  <si>
    <t>EV-PUN-24</t>
  </si>
  <si>
    <t>EVTX0026</t>
  </si>
  <si>
    <t>EV-DEL-07</t>
  </si>
  <si>
    <t>EVTX0027</t>
  </si>
  <si>
    <t>EV-AHM-32</t>
  </si>
  <si>
    <t>EVTX0028</t>
  </si>
  <si>
    <t>EV-MUM-29</t>
  </si>
  <si>
    <t>EVTX0029</t>
  </si>
  <si>
    <t>EV-KOC-10</t>
  </si>
  <si>
    <t>EVTX0030</t>
  </si>
  <si>
    <t>EV-AHM-27</t>
  </si>
  <si>
    <t>EVTX0031</t>
  </si>
  <si>
    <t>Gurugram</t>
  </si>
  <si>
    <t>Haryana</t>
  </si>
  <si>
    <t>EV-GUR-16</t>
  </si>
  <si>
    <t>EVTX0032</t>
  </si>
  <si>
    <t>Chennai</t>
  </si>
  <si>
    <t>Tamil Nadu</t>
  </si>
  <si>
    <t>EV-CHE-20</t>
  </si>
  <si>
    <t>EVTX0033</t>
  </si>
  <si>
    <t>EV-CHE-33</t>
  </si>
  <si>
    <t>EVTX0034</t>
  </si>
  <si>
    <t>EV-GUR-23</t>
  </si>
  <si>
    <t>EVTX0035</t>
  </si>
  <si>
    <t>EVTX0036</t>
  </si>
  <si>
    <t>EV-AHM-20</t>
  </si>
  <si>
    <t>EVTX0037</t>
  </si>
  <si>
    <t>EV-MUM-20</t>
  </si>
  <si>
    <t>EVTX0038</t>
  </si>
  <si>
    <t>EV-PUN-33</t>
  </si>
  <si>
    <t>EVTX0039</t>
  </si>
  <si>
    <t>EV-PUN-10</t>
  </si>
  <si>
    <t>EVTX0040</t>
  </si>
  <si>
    <t>EV-PUN-25</t>
  </si>
  <si>
    <t>EVTX0041</t>
  </si>
  <si>
    <t>EV-PUN-08</t>
  </si>
  <si>
    <t>EVTX0042</t>
  </si>
  <si>
    <t>EVTX0043</t>
  </si>
  <si>
    <t>EV-HYD-19</t>
  </si>
  <si>
    <t>EVTX0044</t>
  </si>
  <si>
    <t>EV-GUR-27</t>
  </si>
  <si>
    <t>EVTX0045</t>
  </si>
  <si>
    <t>EV-KOC-25</t>
  </si>
  <si>
    <t>EVTX0046</t>
  </si>
  <si>
    <t>EV-KOC-15</t>
  </si>
  <si>
    <t>EVTX0047</t>
  </si>
  <si>
    <t>EV-MUM-30</t>
  </si>
  <si>
    <t>EVTX0048</t>
  </si>
  <si>
    <t>EV-CHE-14</t>
  </si>
  <si>
    <t>EVTX0049</t>
  </si>
  <si>
    <t>EV-AHM-04</t>
  </si>
  <si>
    <t>EVTX0050</t>
  </si>
  <si>
    <t>EV-MUM-31</t>
  </si>
  <si>
    <t>EVTX0051</t>
  </si>
  <si>
    <t>EVTX0052</t>
  </si>
  <si>
    <t>EV-HYD-20</t>
  </si>
  <si>
    <t>EVTX0053</t>
  </si>
  <si>
    <t>EV-HYD-28</t>
  </si>
  <si>
    <t>EVTX0054</t>
  </si>
  <si>
    <t>EV-KOC-35</t>
  </si>
  <si>
    <t>EVTX0055</t>
  </si>
  <si>
    <t>EV-NOI-25</t>
  </si>
  <si>
    <t>EVTX0056</t>
  </si>
  <si>
    <t>EV-DEL-01</t>
  </si>
  <si>
    <t>EVTX0057</t>
  </si>
  <si>
    <t>EV-NOI-29</t>
  </si>
  <si>
    <t>EVTX0058</t>
  </si>
  <si>
    <t>EV-CHE-31</t>
  </si>
  <si>
    <t>EVTX0059</t>
  </si>
  <si>
    <t>EV-CHE-08</t>
  </si>
  <si>
    <t>EVTX0060</t>
  </si>
  <si>
    <t>EV-KOC-19</t>
  </si>
  <si>
    <t>EVTX0061</t>
  </si>
  <si>
    <t>EV-BEN-19</t>
  </si>
  <si>
    <t>EVTX0062</t>
  </si>
  <si>
    <t>EVTX0063</t>
  </si>
  <si>
    <t>EV-MUM-10</t>
  </si>
  <si>
    <t>EVTX0064</t>
  </si>
  <si>
    <t>EV-PUN-34</t>
  </si>
  <si>
    <t>EVTX0065</t>
  </si>
  <si>
    <t>EV-PUN-17</t>
  </si>
  <si>
    <t>EVTX0066</t>
  </si>
  <si>
    <t>EVTX0067</t>
  </si>
  <si>
    <t>EV-PUN-28</t>
  </si>
  <si>
    <t>EVTX0068</t>
  </si>
  <si>
    <t>EV-DEL-29</t>
  </si>
  <si>
    <t>EVTX0069</t>
  </si>
  <si>
    <t>EV-KOC-17</t>
  </si>
  <si>
    <t>EVTX0070</t>
  </si>
  <si>
    <t>EV-DEL-12</t>
  </si>
  <si>
    <t>EVTX0071</t>
  </si>
  <si>
    <t>EV-GUR-32</t>
  </si>
  <si>
    <t>EVTX0072</t>
  </si>
  <si>
    <t>EV-GUR-33</t>
  </si>
  <si>
    <t>EVTX0073</t>
  </si>
  <si>
    <t>EV-DEL-09</t>
  </si>
  <si>
    <t>EVTX0074</t>
  </si>
  <si>
    <t>EV-BEN-27</t>
  </si>
  <si>
    <t>EVTX0075</t>
  </si>
  <si>
    <t>EV-GUR-31</t>
  </si>
  <si>
    <t>EVTX0076</t>
  </si>
  <si>
    <t>EV-HYD-18</t>
  </si>
  <si>
    <t>EVTX0077</t>
  </si>
  <si>
    <t>EV-AHM-35</t>
  </si>
  <si>
    <t>EVTX0078</t>
  </si>
  <si>
    <t>EV-BEN-21</t>
  </si>
  <si>
    <t>EVTX0079</t>
  </si>
  <si>
    <t>EV-CHE-07</t>
  </si>
  <si>
    <t>EVTX0080</t>
  </si>
  <si>
    <t>EV-CHE-26</t>
  </si>
  <si>
    <t>EVTX0081</t>
  </si>
  <si>
    <t>EV-PUN-06</t>
  </si>
  <si>
    <t>EVTX0082</t>
  </si>
  <si>
    <t>EV-CHE-04</t>
  </si>
  <si>
    <t>EVTX0083</t>
  </si>
  <si>
    <t>EVTX0084</t>
  </si>
  <si>
    <t>EV-MUM-05</t>
  </si>
  <si>
    <t>EVTX0085</t>
  </si>
  <si>
    <t>EVTX0086</t>
  </si>
  <si>
    <t>EVTX0087</t>
  </si>
  <si>
    <t>EVTX0088</t>
  </si>
  <si>
    <t>EV-CHE-34</t>
  </si>
  <si>
    <t>EVTX0089</t>
  </si>
  <si>
    <t>EV-GUR-24</t>
  </si>
  <si>
    <t>EVTX0090</t>
  </si>
  <si>
    <t>EVTX0091</t>
  </si>
  <si>
    <t>EVTX0092</t>
  </si>
  <si>
    <t>EVTX0093</t>
  </si>
  <si>
    <t>EV-NOI-27</t>
  </si>
  <si>
    <t>EVTX0094</t>
  </si>
  <si>
    <t>EV-AHM-23</t>
  </si>
  <si>
    <t>EVTX0095</t>
  </si>
  <si>
    <t>EV-BEN-04</t>
  </si>
  <si>
    <t>EVTX0096</t>
  </si>
  <si>
    <t>EV-KOC-01</t>
  </si>
  <si>
    <t>EVTX0097</t>
  </si>
  <si>
    <t>EV-KOC-21</t>
  </si>
  <si>
    <t>EVTX0098</t>
  </si>
  <si>
    <t>EV-AHM-07</t>
  </si>
  <si>
    <t>EVTX0099</t>
  </si>
  <si>
    <t>EV-BEN-31</t>
  </si>
  <si>
    <t>EVTX0100</t>
  </si>
  <si>
    <t>EVTX0101</t>
  </si>
  <si>
    <t>EV-GUR-29</t>
  </si>
  <si>
    <t>EVTX0102</t>
  </si>
  <si>
    <t>EV-CHE-10</t>
  </si>
  <si>
    <t>EVTX0103</t>
  </si>
  <si>
    <t>EV-BEN-22</t>
  </si>
  <si>
    <t>EVTX0104</t>
  </si>
  <si>
    <t>EVTX0105</t>
  </si>
  <si>
    <t>EV-KOC-02</t>
  </si>
  <si>
    <t>EVTX0106</t>
  </si>
  <si>
    <t>EV-HYD-10</t>
  </si>
  <si>
    <t>EVTX0107</t>
  </si>
  <si>
    <t>EV-DEL-21</t>
  </si>
  <si>
    <t>EVTX0108</t>
  </si>
  <si>
    <t>EV-KOC-29</t>
  </si>
  <si>
    <t>EVTX0109</t>
  </si>
  <si>
    <t>EV-BEN-15</t>
  </si>
  <si>
    <t>EVTX0110</t>
  </si>
  <si>
    <t>EV-BEN-32</t>
  </si>
  <si>
    <t>EVTX0111</t>
  </si>
  <si>
    <t>EV-HYD-26</t>
  </si>
  <si>
    <t>EVTX0112</t>
  </si>
  <si>
    <t>EVTX0113</t>
  </si>
  <si>
    <t>EVTX0114</t>
  </si>
  <si>
    <t>EVTX0115</t>
  </si>
  <si>
    <t>EVTX0116</t>
  </si>
  <si>
    <t>EV-BEN-23</t>
  </si>
  <si>
    <t>EVTX0117</t>
  </si>
  <si>
    <t>EV-HYD-06</t>
  </si>
  <si>
    <t>EVTX0118</t>
  </si>
  <si>
    <t>EVTX0119</t>
  </si>
  <si>
    <t>EV-NOI-34</t>
  </si>
  <si>
    <t>EVTX0120</t>
  </si>
  <si>
    <t>EV-HYD-22</t>
  </si>
  <si>
    <t>Dashboard Component</t>
  </si>
  <si>
    <t>Recommended Excel Feature</t>
  </si>
  <si>
    <t>Total Charging Sessions</t>
  </si>
  <si>
    <t>KPI Card / COUNTA</t>
  </si>
  <si>
    <t>Total Energy Delivered (kWh)</t>
  </si>
  <si>
    <t>KPI Card / SUM</t>
  </si>
  <si>
    <t>Total Revenue (₹)</t>
  </si>
  <si>
    <t>Average Charging Duration</t>
  </si>
  <si>
    <t>KPI Card / AVERAGE</t>
  </si>
  <si>
    <t>Average Station Utilization %</t>
  </si>
  <si>
    <t>Top 5 Stations by Revenue</t>
  </si>
  <si>
    <t>PivotTable + Top 5 Filter</t>
  </si>
  <si>
    <t>Bottom 5 Stations by Revenue</t>
  </si>
  <si>
    <t>PivotTable + Bottom 5 Filter</t>
  </si>
  <si>
    <t>Revenue by City</t>
  </si>
  <si>
    <t>PivotTable + Column Chart</t>
  </si>
  <si>
    <t>Energy Delivered by Charger Type</t>
  </si>
  <si>
    <t>PivotTable + Donut Chart</t>
  </si>
  <si>
    <t>Monthly Revenue Trend</t>
  </si>
  <si>
    <t>PivotTable + Line Chart</t>
  </si>
  <si>
    <t>Completed vs Failed/Cancelled Sessions</t>
  </si>
  <si>
    <t>PivotTable + Doughnut/Column Chart</t>
  </si>
  <si>
    <t>Revenue by Payment Mode</t>
  </si>
  <si>
    <t>PivotTable + Bar Chart</t>
  </si>
  <si>
    <t>Revenue by Vehicle Type</t>
  </si>
  <si>
    <t>Cities</t>
  </si>
  <si>
    <t>Charger Types</t>
  </si>
  <si>
    <t>Vehicle Types</t>
  </si>
  <si>
    <t>Payment Modes</t>
  </si>
  <si>
    <t>Station Types</t>
  </si>
  <si>
    <t>Column1</t>
  </si>
  <si>
    <t>Sum of Revenue (₹)</t>
  </si>
  <si>
    <t>Row Labels</t>
  </si>
  <si>
    <t>Grand Total</t>
  </si>
  <si>
    <t>Sum of Energy Delivered (kWh)</t>
  </si>
  <si>
    <t>Count of Session ID</t>
  </si>
  <si>
    <t>.</t>
  </si>
  <si>
    <t>TOP 5 STATIONS BY REVENUE</t>
  </si>
  <si>
    <t xml:space="preserve"> Revenue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</si>
</sst>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yyyy\-mm\-dd"/>
  </numFmts>
  <fonts count="3" x14ac:knownFonts="1">
    <font>
      <sz val="11"/>
      <color theme="1"/>
      <name val="Calibri"/>
      <family val="2"/>
      <scheme val="minor"/>
    </font>
    <font>
      <b/>
      <sz val="11"/>
      <name val="Calibri"/>
      <family val="2"/>
    </font>
    <font>
      <b/>
      <sz val="12"/>
      <color theme="1"/>
      <name val="Calibri"/>
      <family val="2"/>
      <scheme val="minor"/>
    </font>
  </fonts>
  <fills count="4">
    <fill>
      <patternFill patternType="none"/>
    </fill>
    <fill>
      <patternFill patternType="gray125"/>
    </fill>
    <fill>
      <patternFill patternType="solid">
        <fgColor theme="6" tint="-0.249977111117893"/>
        <bgColor indexed="64"/>
      </patternFill>
    </fill>
    <fill>
      <patternFill patternType="solid">
        <fgColor theme="3"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3">
    <xf numFmtId="0" fontId="0" fillId="0" borderId="0" xfId="0"/>
    <xf numFmtId="164" fontId="0" fillId="0" borderId="0" xfId="0" applyNumberFormat="1"/>
    <xf numFmtId="0" fontId="1" fillId="0" borderId="1" xfId="0" applyFont="1" applyBorder="1" applyAlignment="1">
      <alignment horizontal="center"/>
    </xf>
    <xf numFmtId="0" fontId="0" fillId="0" borderId="0" xfId="0" pivotButton="1"/>
    <xf numFmtId="0" fontId="0" fillId="0" borderId="0" xfId="0" applyAlignment="1">
      <alignment horizontal="left"/>
    </xf>
    <xf numFmtId="0" fontId="0" fillId="0" borderId="0" xfId="0" applyAlignment="1">
      <alignment horizontal="center"/>
    </xf>
    <xf numFmtId="1" fontId="0" fillId="0" borderId="0" xfId="0" applyNumberFormat="1" applyAlignment="1">
      <alignment horizontal="center"/>
    </xf>
    <xf numFmtId="0" fontId="0" fillId="2" borderId="0" xfId="0" applyFill="1" applyAlignment="1">
      <alignment horizontal="center"/>
    </xf>
    <xf numFmtId="0" fontId="0" fillId="3" borderId="0" xfId="0" applyFill="1"/>
    <xf numFmtId="0" fontId="2" fillId="0" borderId="0" xfId="0" applyFont="1" applyAlignment="1">
      <alignment horizontal="center"/>
    </xf>
    <xf numFmtId="0" fontId="0" fillId="0" borderId="0" xfId="0" applyAlignment="1">
      <alignment horizontal="center"/>
    </xf>
    <xf numFmtId="0" fontId="0" fillId="0" borderId="0" xfId="0" applyNumberFormat="1"/>
    <xf numFmtId="0" fontId="0" fillId="0" borderId="0" xfId="0" applyNumberFormat="1" applyAlignment="1">
      <alignment horizontal="center"/>
    </xf>
  </cellXfs>
  <cellStyles count="1">
    <cellStyle name="Normal" xfId="0" builtinId="0"/>
  </cellStyles>
  <dxfs count="194">
    <dxf>
      <numFmt numFmtId="1" formatCode="0"/>
    </dxf>
    <dxf>
      <alignment horizontal="center"/>
    </dxf>
    <dxf>
      <alignment horizontal="center"/>
    </dxf>
    <dxf>
      <alignment horizontal="center"/>
    </dxf>
    <dxf>
      <alignment horizontal="center"/>
    </dxf>
    <dxf>
      <alignment horizontal="center"/>
    </dxf>
    <dxf>
      <fill>
        <patternFill patternType="solid">
          <bgColor theme="6" tint="-0.249977111117893"/>
        </patternFill>
      </fill>
    </dxf>
    <dxf>
      <fill>
        <patternFill patternType="solid">
          <bgColor theme="6" tint="-0.249977111117893"/>
        </patternFill>
      </fill>
    </dxf>
    <dxf>
      <numFmt numFmtId="1" formatCode="0"/>
    </dxf>
    <dxf>
      <alignment horizontal="center"/>
    </dxf>
    <dxf>
      <alignment horizontal="center"/>
    </dxf>
    <dxf>
      <alignment horizontal="center"/>
    </dxf>
    <dxf>
      <alignment horizontal="center"/>
    </dxf>
    <dxf>
      <alignment horizontal="center"/>
    </dxf>
    <dxf>
      <fill>
        <patternFill patternType="solid">
          <bgColor theme="6" tint="-0.249977111117893"/>
        </patternFill>
      </fill>
    </dxf>
    <dxf>
      <fill>
        <patternFill patternType="solid">
          <bgColor theme="6" tint="-0.249977111117893"/>
        </patternFill>
      </fill>
    </dxf>
    <dxf>
      <numFmt numFmtId="1" formatCode="0"/>
    </dxf>
    <dxf>
      <alignment horizontal="center"/>
    </dxf>
    <dxf>
      <alignment horizontal="center"/>
    </dxf>
    <dxf>
      <alignment horizontal="center"/>
    </dxf>
    <dxf>
      <alignment horizontal="center"/>
    </dxf>
    <dxf>
      <alignment horizontal="center"/>
    </dxf>
    <dxf>
      <fill>
        <patternFill patternType="solid">
          <bgColor theme="6" tint="-0.249977111117893"/>
        </patternFill>
      </fill>
    </dxf>
    <dxf>
      <fill>
        <patternFill patternType="solid">
          <bgColor theme="6" tint="-0.249977111117893"/>
        </patternFill>
      </fill>
    </dxf>
    <dxf>
      <numFmt numFmtId="1" formatCode="0"/>
    </dxf>
    <dxf>
      <alignment horizontal="center"/>
    </dxf>
    <dxf>
      <alignment horizontal="center"/>
    </dxf>
    <dxf>
      <alignment horizontal="center"/>
    </dxf>
    <dxf>
      <alignment horizontal="center"/>
    </dxf>
    <dxf>
      <alignment horizontal="center"/>
    </dxf>
    <dxf>
      <fill>
        <patternFill patternType="solid">
          <bgColor theme="6" tint="-0.249977111117893"/>
        </patternFill>
      </fill>
    </dxf>
    <dxf>
      <fill>
        <patternFill patternType="solid">
          <bgColor theme="6" tint="-0.249977111117893"/>
        </patternFill>
      </fill>
    </dxf>
    <dxf>
      <numFmt numFmtId="1" formatCode="0"/>
    </dxf>
    <dxf>
      <alignment horizontal="center"/>
    </dxf>
    <dxf>
      <alignment horizontal="center"/>
    </dxf>
    <dxf>
      <alignment horizontal="center"/>
    </dxf>
    <dxf>
      <alignment horizontal="center"/>
    </dxf>
    <dxf>
      <alignment horizontal="center"/>
    </dxf>
    <dxf>
      <fill>
        <patternFill patternType="solid">
          <bgColor theme="6" tint="-0.249977111117893"/>
        </patternFill>
      </fill>
    </dxf>
    <dxf>
      <fill>
        <patternFill patternType="solid">
          <bgColor theme="6" tint="-0.249977111117893"/>
        </patternFill>
      </fill>
    </dxf>
    <dxf>
      <numFmt numFmtId="1" formatCode="0"/>
    </dxf>
    <dxf>
      <alignment horizontal="center"/>
    </dxf>
    <dxf>
      <alignment horizontal="center"/>
    </dxf>
    <dxf>
      <alignment horizontal="center"/>
    </dxf>
    <dxf>
      <alignment horizontal="center"/>
    </dxf>
    <dxf>
      <alignment horizontal="center"/>
    </dxf>
    <dxf>
      <fill>
        <patternFill patternType="solid">
          <bgColor theme="6" tint="-0.249977111117893"/>
        </patternFill>
      </fill>
    </dxf>
    <dxf>
      <fill>
        <patternFill patternType="solid">
          <bgColor theme="6" tint="-0.249977111117893"/>
        </patternFill>
      </fill>
    </dxf>
    <dxf>
      <numFmt numFmtId="1" formatCode="0"/>
    </dxf>
    <dxf>
      <alignment horizontal="center"/>
    </dxf>
    <dxf>
      <alignment horizontal="center"/>
    </dxf>
    <dxf>
      <alignment horizontal="center"/>
    </dxf>
    <dxf>
      <alignment horizontal="center"/>
    </dxf>
    <dxf>
      <alignment horizontal="center"/>
    </dxf>
    <dxf>
      <fill>
        <patternFill patternType="solid">
          <bgColor theme="6" tint="-0.249977111117893"/>
        </patternFill>
      </fill>
    </dxf>
    <dxf>
      <fill>
        <patternFill patternType="solid">
          <bgColor theme="6" tint="-0.249977111117893"/>
        </patternFill>
      </fill>
    </dxf>
    <dxf>
      <numFmt numFmtId="1" formatCode="0"/>
    </dxf>
    <dxf>
      <alignment horizontal="center"/>
    </dxf>
    <dxf>
      <alignment horizontal="center"/>
    </dxf>
    <dxf>
      <alignment horizontal="center"/>
    </dxf>
    <dxf>
      <alignment horizontal="center"/>
    </dxf>
    <dxf>
      <alignment horizontal="center"/>
    </dxf>
    <dxf>
      <fill>
        <patternFill patternType="solid">
          <bgColor theme="6" tint="-0.249977111117893"/>
        </patternFill>
      </fill>
    </dxf>
    <dxf>
      <fill>
        <patternFill patternType="solid">
          <bgColor theme="6" tint="-0.249977111117893"/>
        </patternFill>
      </fill>
    </dxf>
    <dxf>
      <numFmt numFmtId="1" formatCode="0"/>
    </dxf>
    <dxf>
      <alignment horizontal="center"/>
    </dxf>
    <dxf>
      <alignment horizontal="center"/>
    </dxf>
    <dxf>
      <alignment horizontal="center"/>
    </dxf>
    <dxf>
      <alignment horizontal="center"/>
    </dxf>
    <dxf>
      <alignment horizontal="center"/>
    </dxf>
    <dxf>
      <fill>
        <patternFill patternType="solid">
          <bgColor theme="6" tint="-0.249977111117893"/>
        </patternFill>
      </fill>
    </dxf>
    <dxf>
      <fill>
        <patternFill patternType="solid">
          <bgColor theme="6" tint="-0.249977111117893"/>
        </patternFill>
      </fill>
    </dxf>
    <dxf>
      <numFmt numFmtId="1" formatCode="0"/>
    </dxf>
    <dxf>
      <alignment horizontal="center"/>
    </dxf>
    <dxf>
      <alignment horizontal="center"/>
    </dxf>
    <dxf>
      <alignment horizontal="center"/>
    </dxf>
    <dxf>
      <alignment horizontal="center"/>
    </dxf>
    <dxf>
      <alignment horizontal="center"/>
    </dxf>
    <dxf>
      <fill>
        <patternFill patternType="solid">
          <bgColor theme="6" tint="-0.249977111117893"/>
        </patternFill>
      </fill>
    </dxf>
    <dxf>
      <fill>
        <patternFill patternType="solid">
          <bgColor theme="6" tint="-0.249977111117893"/>
        </patternFill>
      </fill>
    </dxf>
    <dxf>
      <numFmt numFmtId="1" formatCode="0"/>
    </dxf>
    <dxf>
      <alignment horizontal="center"/>
    </dxf>
    <dxf>
      <alignment horizontal="center"/>
    </dxf>
    <dxf>
      <alignment horizontal="center"/>
    </dxf>
    <dxf>
      <alignment horizontal="center"/>
    </dxf>
    <dxf>
      <alignment horizontal="center"/>
    </dxf>
    <dxf>
      <fill>
        <patternFill patternType="solid">
          <bgColor theme="6" tint="-0.249977111117893"/>
        </patternFill>
      </fill>
    </dxf>
    <dxf>
      <fill>
        <patternFill patternType="solid">
          <bgColor theme="6" tint="-0.249977111117893"/>
        </patternFill>
      </fill>
    </dxf>
    <dxf>
      <numFmt numFmtId="1" formatCode="0"/>
    </dxf>
    <dxf>
      <alignment horizontal="center"/>
    </dxf>
    <dxf>
      <alignment horizontal="center"/>
    </dxf>
    <dxf>
      <alignment horizontal="center"/>
    </dxf>
    <dxf>
      <alignment horizontal="center"/>
    </dxf>
    <dxf>
      <alignment horizontal="center"/>
    </dxf>
    <dxf>
      <fill>
        <patternFill patternType="solid">
          <bgColor theme="6" tint="-0.249977111117893"/>
        </patternFill>
      </fill>
    </dxf>
    <dxf>
      <fill>
        <patternFill patternType="solid">
          <bgColor theme="6" tint="-0.249977111117893"/>
        </patternFill>
      </fill>
    </dxf>
    <dxf>
      <numFmt numFmtId="1" formatCode="0"/>
    </dxf>
    <dxf>
      <alignment horizontal="center"/>
    </dxf>
    <dxf>
      <alignment horizontal="center"/>
    </dxf>
    <dxf>
      <alignment horizontal="center"/>
    </dxf>
    <dxf>
      <alignment horizontal="center"/>
    </dxf>
    <dxf>
      <alignment horizontal="center"/>
    </dxf>
    <dxf>
      <fill>
        <patternFill patternType="solid">
          <bgColor theme="6" tint="-0.249977111117893"/>
        </patternFill>
      </fill>
    </dxf>
    <dxf>
      <fill>
        <patternFill patternType="solid">
          <bgColor theme="6" tint="-0.249977111117893"/>
        </patternFill>
      </fill>
    </dxf>
    <dxf>
      <numFmt numFmtId="1" formatCode="0"/>
    </dxf>
    <dxf>
      <alignment horizontal="center"/>
    </dxf>
    <dxf>
      <alignment horizontal="center"/>
    </dxf>
    <dxf>
      <alignment horizontal="center"/>
    </dxf>
    <dxf>
      <alignment horizontal="center"/>
    </dxf>
    <dxf>
      <alignment horizontal="center"/>
    </dxf>
    <dxf>
      <fill>
        <patternFill patternType="solid">
          <bgColor theme="6" tint="-0.249977111117893"/>
        </patternFill>
      </fill>
    </dxf>
    <dxf>
      <fill>
        <patternFill patternType="solid">
          <bgColor theme="6" tint="-0.249977111117893"/>
        </patternFill>
      </fill>
    </dxf>
    <dxf>
      <numFmt numFmtId="1" formatCode="0"/>
    </dxf>
    <dxf>
      <alignment horizontal="center"/>
    </dxf>
    <dxf>
      <alignment horizontal="center"/>
    </dxf>
    <dxf>
      <alignment horizontal="center"/>
    </dxf>
    <dxf>
      <alignment horizontal="center"/>
    </dxf>
    <dxf>
      <alignment horizontal="center"/>
    </dxf>
    <dxf>
      <fill>
        <patternFill patternType="solid">
          <bgColor theme="6" tint="-0.249977111117893"/>
        </patternFill>
      </fill>
    </dxf>
    <dxf>
      <fill>
        <patternFill patternType="solid">
          <bgColor theme="6" tint="-0.249977111117893"/>
        </patternFill>
      </fill>
    </dxf>
    <dxf>
      <numFmt numFmtId="1" formatCode="0"/>
    </dxf>
    <dxf>
      <alignment horizontal="center"/>
    </dxf>
    <dxf>
      <alignment horizontal="center"/>
    </dxf>
    <dxf>
      <alignment horizontal="center"/>
    </dxf>
    <dxf>
      <alignment horizontal="center"/>
    </dxf>
    <dxf>
      <alignment horizontal="center"/>
    </dxf>
    <dxf>
      <fill>
        <patternFill patternType="solid">
          <bgColor theme="6" tint="-0.249977111117893"/>
        </patternFill>
      </fill>
    </dxf>
    <dxf>
      <fill>
        <patternFill patternType="solid">
          <bgColor theme="6" tint="-0.249977111117893"/>
        </patternFill>
      </fill>
    </dxf>
    <dxf>
      <numFmt numFmtId="1" formatCode="0"/>
    </dxf>
    <dxf>
      <alignment horizontal="center"/>
    </dxf>
    <dxf>
      <alignment horizontal="center"/>
    </dxf>
    <dxf>
      <alignment horizontal="center"/>
    </dxf>
    <dxf>
      <alignment horizontal="center"/>
    </dxf>
    <dxf>
      <alignment horizontal="center"/>
    </dxf>
    <dxf>
      <fill>
        <patternFill patternType="solid">
          <bgColor theme="6" tint="-0.249977111117893"/>
        </patternFill>
      </fill>
    </dxf>
    <dxf>
      <fill>
        <patternFill patternType="solid">
          <bgColor theme="6" tint="-0.249977111117893"/>
        </patternFill>
      </fill>
    </dxf>
    <dxf>
      <numFmt numFmtId="1" formatCode="0"/>
    </dxf>
    <dxf>
      <alignment horizontal="center"/>
    </dxf>
    <dxf>
      <alignment horizontal="center"/>
    </dxf>
    <dxf>
      <alignment horizontal="center"/>
    </dxf>
    <dxf>
      <alignment horizontal="center"/>
    </dxf>
    <dxf>
      <alignment horizontal="center"/>
    </dxf>
    <dxf>
      <fill>
        <patternFill patternType="solid">
          <bgColor theme="6" tint="-0.249977111117893"/>
        </patternFill>
      </fill>
    </dxf>
    <dxf>
      <fill>
        <patternFill patternType="solid">
          <bgColor theme="6" tint="-0.249977111117893"/>
        </patternFill>
      </fill>
    </dxf>
    <dxf>
      <numFmt numFmtId="1" formatCode="0"/>
    </dxf>
    <dxf>
      <alignment horizontal="center"/>
    </dxf>
    <dxf>
      <alignment horizontal="center"/>
    </dxf>
    <dxf>
      <alignment horizontal="center"/>
    </dxf>
    <dxf>
      <alignment horizontal="center"/>
    </dxf>
    <dxf>
      <alignment horizontal="center"/>
    </dxf>
    <dxf>
      <fill>
        <patternFill patternType="solid">
          <bgColor theme="6" tint="-0.249977111117893"/>
        </patternFill>
      </fill>
    </dxf>
    <dxf>
      <fill>
        <patternFill patternType="solid">
          <bgColor theme="6" tint="-0.249977111117893"/>
        </patternFill>
      </fill>
    </dxf>
    <dxf>
      <numFmt numFmtId="1" formatCode="0"/>
    </dxf>
    <dxf>
      <alignment horizontal="center"/>
    </dxf>
    <dxf>
      <alignment horizontal="center"/>
    </dxf>
    <dxf>
      <alignment horizontal="center"/>
    </dxf>
    <dxf>
      <alignment horizontal="center"/>
    </dxf>
    <dxf>
      <alignment horizontal="center"/>
    </dxf>
    <dxf>
      <fill>
        <patternFill patternType="solid">
          <bgColor theme="6" tint="-0.249977111117893"/>
        </patternFill>
      </fill>
    </dxf>
    <dxf>
      <fill>
        <patternFill patternType="solid">
          <bgColor theme="6" tint="-0.249977111117893"/>
        </patternFill>
      </fill>
    </dxf>
    <dxf>
      <numFmt numFmtId="1" formatCode="0"/>
    </dxf>
    <dxf>
      <alignment horizontal="center"/>
    </dxf>
    <dxf>
      <alignment horizontal="center"/>
    </dxf>
    <dxf>
      <alignment horizontal="center"/>
    </dxf>
    <dxf>
      <alignment horizontal="center"/>
    </dxf>
    <dxf>
      <alignment horizontal="center"/>
    </dxf>
    <dxf>
      <fill>
        <patternFill patternType="solid">
          <bgColor theme="6" tint="-0.249977111117893"/>
        </patternFill>
      </fill>
    </dxf>
    <dxf>
      <fill>
        <patternFill patternType="solid">
          <bgColor theme="6" tint="-0.249977111117893"/>
        </patternFill>
      </fill>
    </dxf>
    <dxf>
      <numFmt numFmtId="1" formatCode="0"/>
    </dxf>
    <dxf>
      <alignment horizontal="center"/>
    </dxf>
    <dxf>
      <alignment horizontal="center"/>
    </dxf>
    <dxf>
      <alignment horizontal="center"/>
    </dxf>
    <dxf>
      <alignment horizontal="center"/>
    </dxf>
    <dxf>
      <alignment horizontal="center"/>
    </dxf>
    <dxf>
      <fill>
        <patternFill patternType="solid">
          <bgColor theme="6" tint="-0.249977111117893"/>
        </patternFill>
      </fill>
    </dxf>
    <dxf>
      <fill>
        <patternFill patternType="solid">
          <bgColor theme="6" tint="-0.249977111117893"/>
        </patternFill>
      </fill>
    </dxf>
    <dxf>
      <numFmt numFmtId="1" formatCode="0"/>
    </dxf>
    <dxf>
      <alignment horizontal="center"/>
    </dxf>
    <dxf>
      <alignment horizontal="center"/>
    </dxf>
    <dxf>
      <alignment horizontal="center"/>
    </dxf>
    <dxf>
      <alignment horizontal="center"/>
    </dxf>
    <dxf>
      <alignment horizontal="center"/>
    </dxf>
    <dxf>
      <fill>
        <patternFill patternType="solid">
          <bgColor theme="6" tint="-0.249977111117893"/>
        </patternFill>
      </fill>
    </dxf>
    <dxf>
      <fill>
        <patternFill patternType="solid">
          <bgColor theme="6" tint="-0.249977111117893"/>
        </patternFill>
      </fill>
    </dxf>
    <dxf>
      <fill>
        <patternFill>
          <fgColor theme="6" tint="-0.24994659260841701"/>
        </patternFill>
      </fill>
    </dxf>
    <dxf>
      <fill>
        <patternFill patternType="solid">
          <bgColor theme="6" tint="-0.249977111117893"/>
        </patternFill>
      </fill>
    </dxf>
    <dxf>
      <fill>
        <patternFill patternType="solid">
          <bgColor theme="6" tint="-0.249977111117893"/>
        </patternFill>
      </fill>
    </dxf>
    <dxf>
      <alignment horizontal="center"/>
    </dxf>
    <dxf>
      <alignment horizontal="center"/>
    </dxf>
    <dxf>
      <alignment horizontal="center"/>
    </dxf>
    <dxf>
      <alignment horizontal="center"/>
    </dxf>
    <dxf>
      <alignment horizontal="center"/>
    </dxf>
    <dxf>
      <numFmt numFmtId="1" formatCode="0"/>
    </dxf>
    <dxf>
      <font>
        <b/>
        <i val="0"/>
      </font>
    </dxf>
  </dxfs>
  <tableStyles count="2" defaultTableStyle="TableStyleMedium9" defaultPivotStyle="PivotStyleLight16">
    <tableStyle name="PivotTable Style 1" table="0" count="1" xr9:uid="{E9DB9967-5640-4186-ACC2-813AFE9BA91D}">
      <tableStyleElement type="headerRow" dxfId="193"/>
    </tableStyle>
    <tableStyle name="Slicer Style 1" pivot="0" table="0" count="1" xr9:uid="{0B13D4B8-EDEC-41EF-9193-678A98CEE4ED}">
      <tableStyleElement type="wholeTable" dxfId="184"/>
    </tableStyle>
  </tableStyles>
  <colors>
    <mruColors>
      <color rgb="FF88A62A"/>
      <color rgb="FF516529"/>
      <color rgb="FF1E962F"/>
      <color rgb="FF379FCD"/>
      <color rgb="FF72BB2F"/>
      <color rgb="FFB4D4E6"/>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18" Type="http://schemas.microsoft.com/office/2017/06/relationships/rdRichValueTypes" Target="richData/rdRichValueTyp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17" Type="http://schemas.microsoft.com/office/2017/06/relationships/rdRichValueStructure" Target="richData/rdrichvaluestructure.xml"/><Relationship Id="rId2" Type="http://schemas.openxmlformats.org/officeDocument/2006/relationships/worksheet" Target="worksheets/sheet2.xml"/><Relationship Id="rId16" Type="http://schemas.microsoft.com/office/2017/06/relationships/rdRichValue" Target="richData/rdrichvalue.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4.xml"/><Relationship Id="rId19" Type="http://schemas.microsoft.com/office/2017/10/relationships/person" Target="persons/person.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[EV_Charging_Station_Analytics_Dashboard 2.xlsx]Sheet1!PivotTable3</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CITY </a:t>
            </a:r>
            <a:endParaRPr lang="en-US"/>
          </a:p>
        </c:rich>
      </c:tx>
      <c:layout>
        <c:manualLayout>
          <c:xMode val="edge"/>
          <c:yMode val="edge"/>
          <c:x val="0.23723851072950508"/>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219920793709098"/>
          <c:y val="1.1767359064330525E-2"/>
          <c:w val="0.84125889924519337"/>
          <c:h val="0.64568384008442503"/>
        </c:manualLayout>
      </c:layout>
      <c:bar3DChart>
        <c:barDir val="col"/>
        <c:grouping val="stacked"/>
        <c:varyColors val="0"/>
        <c:ser>
          <c:idx val="0"/>
          <c:order val="0"/>
          <c:tx>
            <c:strRef>
              <c:f>Sheet1!$B$12</c:f>
              <c:strCache>
                <c:ptCount val="1"/>
                <c:pt idx="0">
                  <c:v>Total</c:v>
                </c:pt>
              </c:strCache>
            </c:strRef>
          </c:tx>
          <c:spPr>
            <a:solidFill>
              <a:schemeClr val="accent1"/>
            </a:solidFill>
            <a:ln>
              <a:noFill/>
            </a:ln>
            <a:effectLst/>
            <a:sp3d/>
          </c:spPr>
          <c:invertIfNegative val="0"/>
          <c:cat>
            <c:strRef>
              <c:f>Sheet1!$A$13:$A$19</c:f>
              <c:strCache>
                <c:ptCount val="6"/>
                <c:pt idx="0">
                  <c:v>Bengaluru</c:v>
                </c:pt>
                <c:pt idx="1">
                  <c:v>Chennai</c:v>
                </c:pt>
                <c:pt idx="2">
                  <c:v>Delhi</c:v>
                </c:pt>
                <c:pt idx="3">
                  <c:v>Hyderabad</c:v>
                </c:pt>
                <c:pt idx="4">
                  <c:v>Mumbai</c:v>
                </c:pt>
                <c:pt idx="5">
                  <c:v>Pune</c:v>
                </c:pt>
              </c:strCache>
            </c:strRef>
          </c:cat>
          <c:val>
            <c:numRef>
              <c:f>Sheet1!$B$13:$B$19</c:f>
              <c:numCache>
                <c:formatCode>General</c:formatCode>
                <c:ptCount val="6"/>
                <c:pt idx="0">
                  <c:v>745.2</c:v>
                </c:pt>
                <c:pt idx="1">
                  <c:v>1392.6</c:v>
                </c:pt>
                <c:pt idx="2">
                  <c:v>2841.4</c:v>
                </c:pt>
                <c:pt idx="3">
                  <c:v>3688.4</c:v>
                </c:pt>
                <c:pt idx="4">
                  <c:v>3677.8</c:v>
                </c:pt>
                <c:pt idx="5">
                  <c:v>1643.8</c:v>
                </c:pt>
              </c:numCache>
            </c:numRef>
          </c:val>
          <c:extLst>
            <c:ext xmlns:c16="http://schemas.microsoft.com/office/drawing/2014/chart" uri="{C3380CC4-5D6E-409C-BE32-E72D297353CC}">
              <c16:uniqueId val="{00000000-D1BC-47DF-B154-1E03BAF0FD42}"/>
            </c:ext>
          </c:extLst>
        </c:ser>
        <c:dLbls>
          <c:showLegendKey val="0"/>
          <c:showVal val="0"/>
          <c:showCatName val="0"/>
          <c:showSerName val="0"/>
          <c:showPercent val="0"/>
          <c:showBubbleSize val="0"/>
        </c:dLbls>
        <c:gapWidth val="150"/>
        <c:shape val="box"/>
        <c:axId val="2127928064"/>
        <c:axId val="2091858224"/>
        <c:axId val="0"/>
      </c:bar3DChart>
      <c:catAx>
        <c:axId val="2127928064"/>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1858224"/>
        <c:crosses val="autoZero"/>
        <c:auto val="1"/>
        <c:lblAlgn val="ctr"/>
        <c:lblOffset val="100"/>
        <c:noMultiLvlLbl val="0"/>
      </c:catAx>
      <c:valAx>
        <c:axId val="2091858224"/>
        <c:scaling>
          <c:orientation val="minMax"/>
        </c:scaling>
        <c:delete val="1"/>
        <c:axPos val="l"/>
        <c:numFmt formatCode="General" sourceLinked="1"/>
        <c:majorTickMark val="none"/>
        <c:minorTickMark val="none"/>
        <c:tickLblPos val="nextTo"/>
        <c:crossAx val="2127928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[EV_Charging_Station_Analytics_Dashboard 2.xlsx]Sheet1!PivotTable9</c:name>
    <c:fmtId val="7"/>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sz="1200"/>
              <a:t>REVENUE BY SESSION </a:t>
            </a:r>
          </a:p>
        </c:rich>
      </c:tx>
      <c:layout>
        <c:manualLayout>
          <c:xMode val="edge"/>
          <c:yMode val="edge"/>
          <c:x val="0.25011804857792441"/>
          <c:y val="8.2677124346395015E-3"/>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019762568506996"/>
          <c:y val="0.2754554402849822"/>
          <c:w val="0.43977394488152299"/>
          <c:h val="0.4977755296543967"/>
        </c:manualLayout>
      </c:layout>
      <c:pieChart>
        <c:varyColors val="1"/>
        <c:ser>
          <c:idx val="0"/>
          <c:order val="0"/>
          <c:tx>
            <c:strRef>
              <c:f>Sheet1!$E$19</c:f>
              <c:strCache>
                <c:ptCount val="1"/>
                <c:pt idx="0">
                  <c:v>Total</c:v>
                </c:pt>
              </c:strCache>
            </c:strRef>
          </c:tx>
          <c:dPt>
            <c:idx val="0"/>
            <c:bubble3D val="0"/>
            <c:spPr>
              <a:gradFill rotWithShape="1">
                <a:gsLst>
                  <a:gs pos="0">
                    <a:schemeClr val="accent5">
                      <a:tint val="65000"/>
                      <a:shade val="51000"/>
                      <a:satMod val="130000"/>
                    </a:schemeClr>
                  </a:gs>
                  <a:gs pos="80000">
                    <a:schemeClr val="accent5">
                      <a:tint val="65000"/>
                      <a:shade val="93000"/>
                      <a:satMod val="130000"/>
                    </a:schemeClr>
                  </a:gs>
                  <a:gs pos="100000">
                    <a:schemeClr val="accent5">
                      <a:tint val="65000"/>
                      <a:shade val="94000"/>
                      <a:satMod val="135000"/>
                    </a:schemeClr>
                  </a:gs>
                </a:gsLst>
                <a:lin ang="16200000" scaled="0"/>
              </a:gradFill>
              <a:ln>
                <a:noFill/>
              </a:ln>
              <a:effectLst>
                <a:outerShdw blurRad="40000" dist="23000" dir="5400000" rotWithShape="0">
                  <a:srgbClr val="000000">
                    <a:alpha val="35000"/>
                  </a:srgbClr>
                </a:outerShdw>
              </a:effectLst>
            </c:spPr>
          </c:dPt>
          <c:dPt>
            <c:idx val="1"/>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c:spPr>
          </c:dPt>
          <c:dPt>
            <c:idx val="2"/>
            <c:bubble3D val="0"/>
            <c:spPr>
              <a:gradFill rotWithShape="1">
                <a:gsLst>
                  <a:gs pos="0">
                    <a:schemeClr val="accent5">
                      <a:shade val="65000"/>
                      <a:shade val="51000"/>
                      <a:satMod val="130000"/>
                    </a:schemeClr>
                  </a:gs>
                  <a:gs pos="80000">
                    <a:schemeClr val="accent5">
                      <a:shade val="65000"/>
                      <a:shade val="93000"/>
                      <a:satMod val="130000"/>
                    </a:schemeClr>
                  </a:gs>
                  <a:gs pos="100000">
                    <a:schemeClr val="accent5">
                      <a:shade val="65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0-FA7F-46B3-8CE8-C17A08B490F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Sheet1!$D$20:$D$23</c:f>
              <c:strCache>
                <c:ptCount val="3"/>
                <c:pt idx="0">
                  <c:v>Cancelled</c:v>
                </c:pt>
                <c:pt idx="1">
                  <c:v>Completed</c:v>
                </c:pt>
                <c:pt idx="2">
                  <c:v>Failed</c:v>
                </c:pt>
              </c:strCache>
            </c:strRef>
          </c:cat>
          <c:val>
            <c:numRef>
              <c:f>Sheet1!$E$20:$E$23</c:f>
              <c:numCache>
                <c:formatCode>General</c:formatCode>
                <c:ptCount val="3"/>
                <c:pt idx="0">
                  <c:v>5</c:v>
                </c:pt>
                <c:pt idx="1">
                  <c:v>21</c:v>
                </c:pt>
                <c:pt idx="2">
                  <c:v>8</c:v>
                </c:pt>
              </c:numCache>
            </c:numRef>
          </c:val>
          <c:extLst>
            <c:ext xmlns:c16="http://schemas.microsoft.com/office/drawing/2014/chart" uri="{C3380CC4-5D6E-409C-BE32-E72D297353CC}">
              <c16:uniqueId val="{00000000-A070-4C99-8E24-032BEBD21263}"/>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7.719306302927316E-2"/>
          <c:y val="0.80853496278122738"/>
          <c:w val="0.84339080377134279"/>
          <c:h val="0.1842828977407823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[EV_Charging_Station_Analytics_Dashboard 2.xlsx]Sheet1!PivotTable10</c:name>
    <c:fmtId val="9"/>
  </c:pivotSource>
  <c:chart>
    <c:title>
      <c:tx>
        <c:rich>
          <a:bodyPr rot="0" spcFirstLastPara="1" vertOverflow="ellipsis" vert="horz" wrap="square" anchor="ctr" anchorCtr="1"/>
          <a:lstStyle/>
          <a:p>
            <a:pPr algn="ctr">
              <a:defRPr sz="1800" b="1" i="0" u="none" strike="noStrike" kern="1200" cap="all" spc="50" baseline="0">
                <a:solidFill>
                  <a:schemeClr val="tx1">
                    <a:lumMod val="65000"/>
                    <a:lumOff val="35000"/>
                  </a:schemeClr>
                </a:solidFill>
                <a:latin typeface="+mn-lt"/>
                <a:ea typeface="+mn-ea"/>
                <a:cs typeface="+mn-cs"/>
              </a:defRPr>
            </a:pPr>
            <a:r>
              <a:rPr lang="en-US" sz="1200"/>
              <a:t>REVENUE BY PAYMENT MODE</a:t>
            </a:r>
          </a:p>
        </c:rich>
      </c:tx>
      <c:layout>
        <c:manualLayout>
          <c:xMode val="edge"/>
          <c:yMode val="edge"/>
          <c:x val="0.23861295802923657"/>
          <c:y val="8.7854361692697447E-3"/>
        </c:manualLayout>
      </c:layout>
      <c:overlay val="0"/>
      <c:spPr>
        <a:noFill/>
        <a:ln>
          <a:noFill/>
        </a:ln>
        <a:effectLst/>
      </c:spPr>
      <c:txPr>
        <a:bodyPr rot="0" spcFirstLastPara="1" vertOverflow="ellipsis" vert="horz" wrap="square" anchor="ctr" anchorCtr="1"/>
        <a:lstStyle/>
        <a:p>
          <a:pPr algn="ct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circle"/>
          <c:size val="6"/>
          <c:spPr>
            <a:gradFill>
              <a:gsLst>
                <a:gs pos="0">
                  <a:schemeClr val="accent1"/>
                </a:gs>
                <a:gs pos="46000">
                  <a:schemeClr val="accent1"/>
                </a:gs>
                <a:gs pos="100000">
                  <a:schemeClr val="accent1">
                    <a:lumMod val="20000"/>
                    <a:lumOff val="80000"/>
                    <a:alpha val="0"/>
                  </a:schemeClr>
                </a:gs>
              </a:gsLst>
              <a:path path="circle">
                <a:fillToRect l="50000" t="-80000" r="50000" b="180000"/>
              </a:path>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720072266578777"/>
          <c:y val="0.23714043403077353"/>
          <c:w val="0.77940935604952033"/>
          <c:h val="0.59315535953947573"/>
        </c:manualLayout>
      </c:layout>
      <c:barChart>
        <c:barDir val="bar"/>
        <c:grouping val="clustered"/>
        <c:varyColors val="0"/>
        <c:ser>
          <c:idx val="0"/>
          <c:order val="0"/>
          <c:tx>
            <c:strRef>
              <c:f>Sheet1!$H$3</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Sheet1!$G$4:$G$8</c:f>
              <c:strCache>
                <c:ptCount val="4"/>
                <c:pt idx="0">
                  <c:v>App</c:v>
                </c:pt>
                <c:pt idx="1">
                  <c:v>Card</c:v>
                </c:pt>
                <c:pt idx="2">
                  <c:v>UPI</c:v>
                </c:pt>
                <c:pt idx="3">
                  <c:v>Wallet</c:v>
                </c:pt>
              </c:strCache>
            </c:strRef>
          </c:cat>
          <c:val>
            <c:numRef>
              <c:f>Sheet1!$H$4:$H$8</c:f>
              <c:numCache>
                <c:formatCode>General</c:formatCode>
                <c:ptCount val="4"/>
                <c:pt idx="0">
                  <c:v>3933.6</c:v>
                </c:pt>
                <c:pt idx="1">
                  <c:v>1429.8</c:v>
                </c:pt>
                <c:pt idx="2">
                  <c:v>3811.6</c:v>
                </c:pt>
                <c:pt idx="3">
                  <c:v>4814.2</c:v>
                </c:pt>
              </c:numCache>
            </c:numRef>
          </c:val>
          <c:extLst>
            <c:ext xmlns:c16="http://schemas.microsoft.com/office/drawing/2014/chart" uri="{C3380CC4-5D6E-409C-BE32-E72D297353CC}">
              <c16:uniqueId val="{00000000-764D-41C9-820C-199901818D34}"/>
            </c:ext>
          </c:extLst>
        </c:ser>
        <c:dLbls>
          <c:dLblPos val="inEnd"/>
          <c:showLegendKey val="0"/>
          <c:showVal val="1"/>
          <c:showCatName val="0"/>
          <c:showSerName val="0"/>
          <c:showPercent val="0"/>
          <c:showBubbleSize val="0"/>
        </c:dLbls>
        <c:gapWidth val="326"/>
        <c:overlap val="-58"/>
        <c:axId val="529322656"/>
        <c:axId val="2121230480"/>
      </c:barChart>
      <c:catAx>
        <c:axId val="529322656"/>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1230480"/>
        <c:crosses val="autoZero"/>
        <c:auto val="1"/>
        <c:lblAlgn val="ctr"/>
        <c:lblOffset val="100"/>
        <c:noMultiLvlLbl val="0"/>
      </c:catAx>
      <c:valAx>
        <c:axId val="2121230480"/>
        <c:scaling>
          <c:orientation val="minMax"/>
        </c:scaling>
        <c:delete val="0"/>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9322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[EV_Charging_Station_Analytics_Dashboard 2.xlsx]Sheet1!PivotTable8</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200"/>
              <a:t>ENERGY</a:t>
            </a:r>
            <a:r>
              <a:rPr lang="en-IN" sz="1200" baseline="0"/>
              <a:t> DELIVERED BY CHARGER TYPE </a:t>
            </a:r>
            <a:endParaRPr lang="en-IN" sz="1200"/>
          </a:p>
        </c:rich>
      </c:tx>
      <c:layout>
        <c:manualLayout>
          <c:xMode val="edge"/>
          <c:yMode val="edge"/>
          <c:x val="0.1568456854578664"/>
          <c:y val="2.7627323246720799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spPr>
          <a:solidFill>
            <a:schemeClr val="accent5"/>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5"/>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5"/>
          </a:solidFill>
          <a:ln>
            <a:noFill/>
          </a:ln>
          <a:effectLst>
            <a:outerShdw blurRad="254000" sx="102000" sy="102000" algn="ctr" rotWithShape="0">
              <a:prstClr val="black">
                <a:alpha val="20000"/>
              </a:prstClr>
            </a:outerShdw>
          </a:effectLst>
        </c:spPr>
      </c:pivotFmt>
      <c:pivotFmt>
        <c:idx val="3"/>
        <c:spPr>
          <a:solidFill>
            <a:schemeClr val="accent5"/>
          </a:solidFill>
          <a:ln>
            <a:noFill/>
          </a:ln>
          <a:effectLst>
            <a:outerShdw blurRad="254000" sx="102000" sy="102000" algn="ctr" rotWithShape="0">
              <a:prstClr val="black">
                <a:alpha val="20000"/>
              </a:prstClr>
            </a:outerShdw>
          </a:effectLst>
        </c:spPr>
      </c:pivotFmt>
      <c:pivotFmt>
        <c:idx val="4"/>
        <c:spPr>
          <a:solidFill>
            <a:schemeClr val="accent5"/>
          </a:solidFill>
          <a:ln>
            <a:noFill/>
          </a:ln>
          <a:effectLst>
            <a:outerShdw blurRad="254000" sx="102000" sy="102000" algn="ctr" rotWithShape="0">
              <a:prstClr val="black">
                <a:alpha val="20000"/>
              </a:prstClr>
            </a:outerShdw>
          </a:effectLst>
        </c:spPr>
      </c:pivotFmt>
      <c:pivotFmt>
        <c:idx val="5"/>
        <c:spPr>
          <a:solidFill>
            <a:schemeClr val="accent5"/>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5"/>
          </a:solidFill>
          <a:ln>
            <a:noFill/>
          </a:ln>
          <a:effectLst>
            <a:outerShdw blurRad="254000" sx="102000" sy="102000" algn="ctr" rotWithShape="0">
              <a:prstClr val="black">
                <a:alpha val="20000"/>
              </a:prstClr>
            </a:outerShdw>
          </a:effectLst>
        </c:spPr>
      </c:pivotFmt>
      <c:pivotFmt>
        <c:idx val="7"/>
        <c:spPr>
          <a:solidFill>
            <a:schemeClr val="accent5"/>
          </a:solidFill>
          <a:ln>
            <a:noFill/>
          </a:ln>
          <a:effectLst>
            <a:outerShdw blurRad="254000" sx="102000" sy="102000" algn="ctr" rotWithShape="0">
              <a:prstClr val="black">
                <a:alpha val="20000"/>
              </a:prstClr>
            </a:outerShdw>
          </a:effectLst>
        </c:spPr>
      </c:pivotFmt>
      <c:pivotFmt>
        <c:idx val="8"/>
        <c:spPr>
          <a:solidFill>
            <a:schemeClr val="accent5"/>
          </a:solidFill>
          <a:ln>
            <a:noFill/>
          </a:ln>
          <a:effectLst>
            <a:outerShdw blurRad="254000" sx="102000" sy="102000" algn="ctr" rotWithShape="0">
              <a:prstClr val="black">
                <a:alpha val="20000"/>
              </a:prstClr>
            </a:outerShdw>
          </a:effectLst>
        </c:spPr>
      </c:pivotFmt>
      <c:pivotFmt>
        <c:idx val="9"/>
        <c:spPr>
          <a:solidFill>
            <a:schemeClr val="accent5"/>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5"/>
          </a:solidFill>
          <a:ln>
            <a:noFill/>
          </a:ln>
          <a:effectLst>
            <a:outerShdw blurRad="254000" sx="102000" sy="102000" algn="ctr" rotWithShape="0">
              <a:prstClr val="black">
                <a:alpha val="20000"/>
              </a:prstClr>
            </a:outerShdw>
          </a:effectLst>
        </c:spPr>
      </c:pivotFmt>
      <c:pivotFmt>
        <c:idx val="11"/>
        <c:spPr>
          <a:solidFill>
            <a:schemeClr val="accent5"/>
          </a:solidFill>
          <a:ln>
            <a:noFill/>
          </a:ln>
          <a:effectLst>
            <a:outerShdw blurRad="254000" sx="102000" sy="102000" algn="ctr" rotWithShape="0">
              <a:prstClr val="black">
                <a:alpha val="20000"/>
              </a:prstClr>
            </a:outerShdw>
          </a:effectLst>
        </c:spPr>
      </c:pivotFmt>
      <c:pivotFmt>
        <c:idx val="12"/>
        <c:spPr>
          <a:solidFill>
            <a:schemeClr val="accent5"/>
          </a:solidFill>
          <a:ln>
            <a:noFill/>
          </a:ln>
          <a:effectLst>
            <a:outerShdw blurRad="254000" sx="102000" sy="102000" algn="ctr" rotWithShape="0">
              <a:prstClr val="black">
                <a:alpha val="20000"/>
              </a:prstClr>
            </a:outerShdw>
          </a:effectLst>
        </c:spPr>
      </c:pivotFmt>
      <c:pivotFmt>
        <c:idx val="13"/>
        <c:spPr>
          <a:solidFill>
            <a:schemeClr val="accent5"/>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5"/>
          </a:solidFill>
          <a:ln>
            <a:noFill/>
          </a:ln>
          <a:effectLst>
            <a:outerShdw blurRad="254000" sx="102000" sy="102000" algn="ctr" rotWithShape="0">
              <a:prstClr val="black">
                <a:alpha val="20000"/>
              </a:prstClr>
            </a:outerShdw>
          </a:effectLst>
        </c:spPr>
      </c:pivotFmt>
      <c:pivotFmt>
        <c:idx val="15"/>
        <c:spPr>
          <a:solidFill>
            <a:schemeClr val="accent5"/>
          </a:solidFill>
          <a:ln>
            <a:noFill/>
          </a:ln>
          <a:effectLst>
            <a:outerShdw blurRad="254000" sx="102000" sy="102000" algn="ctr" rotWithShape="0">
              <a:prstClr val="black">
                <a:alpha val="20000"/>
              </a:prstClr>
            </a:outerShdw>
          </a:effectLst>
        </c:spPr>
      </c:pivotFmt>
      <c:pivotFmt>
        <c:idx val="16"/>
        <c:spPr>
          <a:solidFill>
            <a:schemeClr val="accent5"/>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4640056419936862"/>
          <c:y val="0.29492646644190762"/>
          <c:w val="0.60706222976161628"/>
          <c:h val="0.45598775231392552"/>
        </c:manualLayout>
      </c:layout>
      <c:doughnutChart>
        <c:varyColors val="1"/>
        <c:ser>
          <c:idx val="0"/>
          <c:order val="0"/>
          <c:tx>
            <c:strRef>
              <c:f>Sheet1!$E$13</c:f>
              <c:strCache>
                <c:ptCount val="1"/>
                <c:pt idx="0">
                  <c:v>Total</c:v>
                </c:pt>
              </c:strCache>
            </c:strRef>
          </c:tx>
          <c:dPt>
            <c:idx val="0"/>
            <c:bubble3D val="0"/>
            <c:spPr>
              <a:solidFill>
                <a:schemeClr val="accent5">
                  <a:shade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E51-4C49-9ADA-7D4D668506BF}"/>
              </c:ext>
            </c:extLst>
          </c:dPt>
          <c:dPt>
            <c:idx val="1"/>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E51-4C49-9ADA-7D4D668506BF}"/>
              </c:ext>
            </c:extLst>
          </c:dPt>
          <c:dPt>
            <c:idx val="2"/>
            <c:bubble3D val="0"/>
            <c:spPr>
              <a:solidFill>
                <a:schemeClr val="accent5">
                  <a:tint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2E51-4C49-9ADA-7D4D668506B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Sheet1!$D$14:$D$17</c:f>
              <c:strCache>
                <c:ptCount val="3"/>
                <c:pt idx="0">
                  <c:v>AC</c:v>
                </c:pt>
                <c:pt idx="1">
                  <c:v>DC Fast</c:v>
                </c:pt>
                <c:pt idx="2">
                  <c:v>DC Ultra Fast</c:v>
                </c:pt>
              </c:strCache>
            </c:strRef>
          </c:cat>
          <c:val>
            <c:numRef>
              <c:f>Sheet1!$E$14:$E$17</c:f>
              <c:numCache>
                <c:formatCode>General</c:formatCode>
                <c:ptCount val="3"/>
                <c:pt idx="0">
                  <c:v>192</c:v>
                </c:pt>
                <c:pt idx="1">
                  <c:v>185.7</c:v>
                </c:pt>
                <c:pt idx="2">
                  <c:v>414.4</c:v>
                </c:pt>
              </c:numCache>
            </c:numRef>
          </c:val>
          <c:extLst>
            <c:ext xmlns:c16="http://schemas.microsoft.com/office/drawing/2014/chart" uri="{C3380CC4-5D6E-409C-BE32-E72D297353CC}">
              <c16:uniqueId val="{00000006-2E51-4C49-9ADA-7D4D668506BF}"/>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20181525762541136"/>
          <c:y val="0.76426043991223902"/>
          <c:w val="0.51344770950186225"/>
          <c:h val="0.18136948063146158"/>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[EV_Charging_Station_Analytics_Dashboard 2.xlsx]Sheet1!PivotTable11</c:name>
    <c:fmtId val="10"/>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sz="1200">
                <a:solidFill>
                  <a:schemeClr val="tx1"/>
                </a:solidFill>
              </a:rPr>
              <a:t>REVENUE</a:t>
            </a:r>
            <a:r>
              <a:rPr lang="en-IN" sz="1200" baseline="0">
                <a:solidFill>
                  <a:schemeClr val="tx1"/>
                </a:solidFill>
              </a:rPr>
              <a:t> BY VEHICLE TYPE </a:t>
            </a:r>
            <a:endParaRPr lang="en-IN" sz="1200">
              <a:solidFill>
                <a:schemeClr val="tx1"/>
              </a:solidFill>
            </a:endParaRPr>
          </a:p>
        </c:rich>
      </c:tx>
      <c:layout>
        <c:manualLayout>
          <c:xMode val="edge"/>
          <c:yMode val="edge"/>
          <c:x val="0.17582491456925436"/>
          <c:y val="2.8985044173663779E-2"/>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IN"/>
        </a:p>
      </c:txPr>
    </c:title>
    <c:autoTitleDeleted val="0"/>
    <c:pivotFmts>
      <c:pivotFmt>
        <c:idx val="0"/>
        <c:spPr>
          <a:pattFill prst="narVert">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narVert">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Vert">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pattFill prst="narVert">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pattFill prst="narVert">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pattFill prst="narVert">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pattFill prst="narVert">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7986226044454069"/>
          <c:y val="0.30822855734360061"/>
          <c:w val="0.53468662511020715"/>
          <c:h val="0.5599020442444147"/>
        </c:manualLayout>
      </c:layout>
      <c:barChart>
        <c:barDir val="bar"/>
        <c:grouping val="clustered"/>
        <c:varyColors val="0"/>
        <c:ser>
          <c:idx val="0"/>
          <c:order val="0"/>
          <c:tx>
            <c:strRef>
              <c:f>Sheet1!$H$11</c:f>
              <c:strCache>
                <c:ptCount val="1"/>
                <c:pt idx="0">
                  <c:v>Total</c:v>
                </c:pt>
              </c:strCache>
            </c:strRef>
          </c:tx>
          <c:spPr>
            <a:pattFill prst="narVert">
              <a:fgClr>
                <a:schemeClr val="accent1"/>
              </a:fgClr>
              <a:bgClr>
                <a:schemeClr val="accent1">
                  <a:lumMod val="20000"/>
                  <a:lumOff val="80000"/>
                </a:schemeClr>
              </a:bgClr>
            </a:pattFill>
            <a:ln>
              <a:noFill/>
            </a:ln>
            <a:effectLst>
              <a:innerShdw blurRad="114300">
                <a:schemeClr val="accent1"/>
              </a:innerShdw>
            </a:effectLst>
          </c:spPr>
          <c:invertIfNegative val="0"/>
          <c:cat>
            <c:strRef>
              <c:f>Sheet1!$G$12:$G$15</c:f>
              <c:strCache>
                <c:ptCount val="3"/>
                <c:pt idx="0">
                  <c:v>Electric 2-Wheeler</c:v>
                </c:pt>
                <c:pt idx="1">
                  <c:v>Electric Car</c:v>
                </c:pt>
                <c:pt idx="2">
                  <c:v>Electric SUV</c:v>
                </c:pt>
              </c:strCache>
            </c:strRef>
          </c:cat>
          <c:val>
            <c:numRef>
              <c:f>Sheet1!$H$12:$H$15</c:f>
              <c:numCache>
                <c:formatCode>General</c:formatCode>
                <c:ptCount val="3"/>
                <c:pt idx="0">
                  <c:v>2650.6</c:v>
                </c:pt>
                <c:pt idx="1">
                  <c:v>8015.2</c:v>
                </c:pt>
                <c:pt idx="2">
                  <c:v>3323.3999999999996</c:v>
                </c:pt>
              </c:numCache>
            </c:numRef>
          </c:val>
          <c:extLst>
            <c:ext xmlns:c16="http://schemas.microsoft.com/office/drawing/2014/chart" uri="{C3380CC4-5D6E-409C-BE32-E72D297353CC}">
              <c16:uniqueId val="{00000000-9BB1-417E-BC8A-CF133B758F51}"/>
            </c:ext>
          </c:extLst>
        </c:ser>
        <c:dLbls>
          <c:showLegendKey val="0"/>
          <c:showVal val="0"/>
          <c:showCatName val="0"/>
          <c:showSerName val="0"/>
          <c:showPercent val="0"/>
          <c:showBubbleSize val="0"/>
        </c:dLbls>
        <c:gapWidth val="227"/>
        <c:overlap val="-48"/>
        <c:axId val="2126419232"/>
        <c:axId val="570054096"/>
      </c:barChart>
      <c:catAx>
        <c:axId val="2126419232"/>
        <c:scaling>
          <c:orientation val="minMax"/>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0054096"/>
        <c:crosses val="autoZero"/>
        <c:auto val="1"/>
        <c:lblAlgn val="ctr"/>
        <c:lblOffset val="100"/>
        <c:noMultiLvlLbl val="0"/>
      </c:catAx>
      <c:valAx>
        <c:axId val="570054096"/>
        <c:scaling>
          <c:orientation val="minMax"/>
        </c:scaling>
        <c:delete val="0"/>
        <c:axPos val="b"/>
        <c:numFmt formatCode="General" sourceLinked="1"/>
        <c:majorTickMark val="none"/>
        <c:minorTickMark val="none"/>
        <c:tickLblPos val="low"/>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6419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[EV_Charging_Station_Analytics_Dashboard 2.xlsx]Sheet1!PivotTable4</c:name>
    <c:fmtId val="7"/>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sz="1200">
                <a:solidFill>
                  <a:schemeClr val="tx1"/>
                </a:solidFill>
              </a:rPr>
              <a:t>Monthly</a:t>
            </a:r>
            <a:r>
              <a:rPr lang="en-US" sz="1200" baseline="0">
                <a:solidFill>
                  <a:schemeClr val="tx1"/>
                </a:solidFill>
              </a:rPr>
              <a:t> revenue trend</a:t>
            </a:r>
            <a:endParaRPr lang="en-US" sz="1200">
              <a:solidFill>
                <a:schemeClr val="tx1"/>
              </a:solidFill>
            </a:endParaRP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F81BD"/>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937755534695095"/>
          <c:y val="0.23043909332583618"/>
          <c:w val="0.70612276076830316"/>
          <c:h val="0.59964261248679052"/>
        </c:manualLayout>
      </c:layout>
      <c:lineChart>
        <c:grouping val="stacked"/>
        <c:varyColors val="0"/>
        <c:ser>
          <c:idx val="0"/>
          <c:order val="0"/>
          <c:tx>
            <c:strRef>
              <c:f>Sheet1!$E$4</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4F81BD"/>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Sheet1!$D$5:$D$10</c:f>
              <c:strCache>
                <c:ptCount val="5"/>
                <c:pt idx="0">
                  <c:v>Jan</c:v>
                </c:pt>
                <c:pt idx="1">
                  <c:v>Feb</c:v>
                </c:pt>
                <c:pt idx="2">
                  <c:v>Mar</c:v>
                </c:pt>
                <c:pt idx="3">
                  <c:v>Apr</c:v>
                </c:pt>
                <c:pt idx="4">
                  <c:v>May</c:v>
                </c:pt>
              </c:strCache>
            </c:strRef>
          </c:cat>
          <c:val>
            <c:numRef>
              <c:f>Sheet1!$E$5:$E$10</c:f>
              <c:numCache>
                <c:formatCode>General</c:formatCode>
                <c:ptCount val="5"/>
                <c:pt idx="0">
                  <c:v>3467</c:v>
                </c:pt>
                <c:pt idx="1">
                  <c:v>1643</c:v>
                </c:pt>
                <c:pt idx="2">
                  <c:v>2206.1999999999998</c:v>
                </c:pt>
                <c:pt idx="3">
                  <c:v>4795.8</c:v>
                </c:pt>
                <c:pt idx="4">
                  <c:v>1877.2</c:v>
                </c:pt>
              </c:numCache>
            </c:numRef>
          </c:val>
          <c:smooth val="0"/>
          <c:extLst>
            <c:ext xmlns:c16="http://schemas.microsoft.com/office/drawing/2014/chart" uri="{C3380CC4-5D6E-409C-BE32-E72D297353CC}">
              <c16:uniqueId val="{00000000-CA19-434B-920B-D48EE2B28E15}"/>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2126463776"/>
        <c:axId val="1748650256"/>
      </c:lineChart>
      <c:catAx>
        <c:axId val="21264637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1748650256"/>
        <c:crosses val="autoZero"/>
        <c:auto val="1"/>
        <c:lblAlgn val="ctr"/>
        <c:lblOffset val="100"/>
        <c:noMultiLvlLbl val="0"/>
      </c:catAx>
      <c:valAx>
        <c:axId val="1748650256"/>
        <c:scaling>
          <c:orientation val="minMax"/>
        </c:scaling>
        <c:delete val="1"/>
        <c:axPos val="l"/>
        <c:numFmt formatCode="General" sourceLinked="1"/>
        <c:majorTickMark val="none"/>
        <c:minorTickMark val="none"/>
        <c:tickLblPos val="nextTo"/>
        <c:crossAx val="2126463776"/>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5">
  <a:schemeClr val="accent5"/>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emf"/><Relationship Id="rId13" Type="http://schemas.microsoft.com/office/2007/relationships/hdphoto" Target="../media/hdphoto1.wdp"/><Relationship Id="rId18" Type="http://schemas.microsoft.com/office/2007/relationships/hdphoto" Target="../media/hdphoto2.wdp"/><Relationship Id="rId26" Type="http://schemas.openxmlformats.org/officeDocument/2006/relationships/image" Target="../media/image15.png"/><Relationship Id="rId3" Type="http://schemas.openxmlformats.org/officeDocument/2006/relationships/chart" Target="../charts/chart2.xml"/><Relationship Id="rId21" Type="http://schemas.openxmlformats.org/officeDocument/2006/relationships/image" Target="../media/image10.svg"/><Relationship Id="rId7" Type="http://schemas.openxmlformats.org/officeDocument/2006/relationships/chart" Target="../charts/chart6.xml"/><Relationship Id="rId12" Type="http://schemas.openxmlformats.org/officeDocument/2006/relationships/image" Target="../media/image5.png"/><Relationship Id="rId17" Type="http://schemas.openxmlformats.org/officeDocument/2006/relationships/image" Target="../media/image8.png"/><Relationship Id="rId25" Type="http://schemas.openxmlformats.org/officeDocument/2006/relationships/image" Target="../media/image14.svg"/><Relationship Id="rId2" Type="http://schemas.openxmlformats.org/officeDocument/2006/relationships/chart" Target="../charts/chart1.xml"/><Relationship Id="rId16" Type="http://schemas.openxmlformats.org/officeDocument/2006/relationships/image" Target="../media/image7.svg"/><Relationship Id="rId20" Type="http://schemas.openxmlformats.org/officeDocument/2006/relationships/image" Target="../media/image9.png"/><Relationship Id="rId29" Type="http://schemas.microsoft.com/office/2007/relationships/hdphoto" Target="../media/hdphoto3.wdp"/><Relationship Id="rId1" Type="http://schemas.openxmlformats.org/officeDocument/2006/relationships/image" Target="../media/image1.emf"/><Relationship Id="rId6" Type="http://schemas.openxmlformats.org/officeDocument/2006/relationships/chart" Target="../charts/chart5.xml"/><Relationship Id="rId11" Type="http://schemas.openxmlformats.org/officeDocument/2006/relationships/hyperlink" Target="https://freepngimg.com/png/9790-battery-charging-free-png-image" TargetMode="External"/><Relationship Id="rId24" Type="http://schemas.openxmlformats.org/officeDocument/2006/relationships/image" Target="../media/image13.png"/><Relationship Id="rId5" Type="http://schemas.openxmlformats.org/officeDocument/2006/relationships/chart" Target="../charts/chart4.xml"/><Relationship Id="rId15" Type="http://schemas.openxmlformats.org/officeDocument/2006/relationships/image" Target="../media/image6.png"/><Relationship Id="rId23" Type="http://schemas.openxmlformats.org/officeDocument/2006/relationships/image" Target="../media/image12.svg"/><Relationship Id="rId28" Type="http://schemas.openxmlformats.org/officeDocument/2006/relationships/image" Target="../media/image17.png"/><Relationship Id="rId10" Type="http://schemas.openxmlformats.org/officeDocument/2006/relationships/image" Target="../media/image4.png"/><Relationship Id="rId19" Type="http://schemas.openxmlformats.org/officeDocument/2006/relationships/hyperlink" Target="https://www.vecteezy.com/vector-art/9793636-india-currency-rupee-icon-symbol-vector-illustration" TargetMode="External"/><Relationship Id="rId31" Type="http://schemas.openxmlformats.org/officeDocument/2006/relationships/image" Target="../media/image19.svg"/><Relationship Id="rId4" Type="http://schemas.openxmlformats.org/officeDocument/2006/relationships/chart" Target="../charts/chart3.xml"/><Relationship Id="rId9" Type="http://schemas.openxmlformats.org/officeDocument/2006/relationships/image" Target="../media/image3.emf"/><Relationship Id="rId14" Type="http://schemas.openxmlformats.org/officeDocument/2006/relationships/hyperlink" Target="https://iconfinder.web.app/petrol-icon.html" TargetMode="External"/><Relationship Id="rId22" Type="http://schemas.openxmlformats.org/officeDocument/2006/relationships/image" Target="../media/image11.png"/><Relationship Id="rId27" Type="http://schemas.openxmlformats.org/officeDocument/2006/relationships/image" Target="../media/image16.svg"/><Relationship Id="rId30" Type="http://schemas.openxmlformats.org/officeDocument/2006/relationships/image" Target="../media/image18.png"/></Relationships>
</file>

<file path=xl/drawings/drawing1.xml><?xml version="1.0" encoding="utf-8"?>
<xdr:wsDr xmlns:xdr="http://schemas.openxmlformats.org/drawingml/2006/spreadsheetDrawing" xmlns:a="http://schemas.openxmlformats.org/drawingml/2006/main">
  <xdr:oneCellAnchor>
    <xdr:from>
      <xdr:col>0</xdr:col>
      <xdr:colOff>122465</xdr:colOff>
      <xdr:row>0</xdr:row>
      <xdr:rowOff>143507</xdr:rowOff>
    </xdr:from>
    <xdr:ext cx="10811349" cy="468013"/>
    <xdr:sp macro="" textlink="">
      <xdr:nvSpPr>
        <xdr:cNvPr id="2" name="Rectangle 1">
          <a:extLst>
            <a:ext uri="{FF2B5EF4-FFF2-40B4-BE49-F238E27FC236}">
              <a16:creationId xmlns:a16="http://schemas.microsoft.com/office/drawing/2014/main" id="{0DADE4CF-0F12-E74C-78E4-B8DE13BB033D}"/>
            </a:ext>
          </a:extLst>
        </xdr:cNvPr>
        <xdr:cNvSpPr/>
      </xdr:nvSpPr>
      <xdr:spPr>
        <a:xfrm>
          <a:off x="122465" y="143507"/>
          <a:ext cx="10811349" cy="468013"/>
        </a:xfrm>
        <a:prstGeom prst="rect">
          <a:avLst/>
        </a:prstGeom>
        <a:solidFill>
          <a:schemeClr val="accent3">
            <a:lumMod val="50000"/>
          </a:schemeClr>
        </a:solidFill>
      </xdr:spPr>
      <xdr:txBody>
        <a:bodyPr wrap="square" lIns="91440" tIns="45720" rIns="91440" bIns="45720">
          <a:spAutoFit/>
        </a:bodyPr>
        <a:lstStyle/>
        <a:p>
          <a:pPr algn="ctr"/>
          <a:r>
            <a:rPr lang="en-US" sz="2400" b="1" cap="none" spc="0">
              <a:ln w="12700">
                <a:solidFill>
                  <a:schemeClr val="accent3">
                    <a:lumMod val="50000"/>
                  </a:schemeClr>
                </a:solidFill>
                <a:prstDash val="solid"/>
              </a:ln>
              <a:solidFill>
                <a:schemeClr val="bg1"/>
              </a:solidFill>
              <a:effectLst>
                <a:innerShdw blurRad="177800">
                  <a:schemeClr val="accent3">
                    <a:lumMod val="50000"/>
                  </a:schemeClr>
                </a:innerShdw>
              </a:effectLst>
            </a:rPr>
            <a:t>EV CHARGING STATION</a:t>
          </a:r>
          <a:r>
            <a:rPr lang="en-US" sz="2400" b="1" cap="none" spc="0" baseline="0">
              <a:ln w="12700">
                <a:solidFill>
                  <a:schemeClr val="accent3">
                    <a:lumMod val="50000"/>
                  </a:schemeClr>
                </a:solidFill>
                <a:prstDash val="solid"/>
              </a:ln>
              <a:solidFill>
                <a:schemeClr val="bg1"/>
              </a:solidFill>
              <a:effectLst>
                <a:innerShdw blurRad="177800">
                  <a:schemeClr val="accent3">
                    <a:lumMod val="50000"/>
                  </a:schemeClr>
                </a:innerShdw>
              </a:effectLst>
            </a:rPr>
            <a:t> ANALYTICS DASHBOARD</a:t>
          </a:r>
          <a:endParaRPr lang="en-US" sz="2400" b="1" cap="none" spc="0">
            <a:ln w="12700">
              <a:solidFill>
                <a:schemeClr val="accent3">
                  <a:lumMod val="50000"/>
                </a:schemeClr>
              </a:solidFill>
              <a:prstDash val="solid"/>
            </a:ln>
            <a:solidFill>
              <a:schemeClr val="bg1"/>
            </a:solidFill>
            <a:effectLst>
              <a:innerShdw blurRad="177800">
                <a:schemeClr val="accent3">
                  <a:lumMod val="50000"/>
                </a:schemeClr>
              </a:innerShdw>
            </a:effectLst>
          </a:endParaRPr>
        </a:p>
      </xdr:txBody>
    </xdr:sp>
    <xdr:clientData/>
  </xdr:oneCellAnchor>
  <xdr:twoCellAnchor>
    <xdr:from>
      <xdr:col>0</xdr:col>
      <xdr:colOff>143983</xdr:colOff>
      <xdr:row>3</xdr:row>
      <xdr:rowOff>127131</xdr:rowOff>
    </xdr:from>
    <xdr:to>
      <xdr:col>2</xdr:col>
      <xdr:colOff>460744</xdr:colOff>
      <xdr:row>8</xdr:row>
      <xdr:rowOff>88605</xdr:rowOff>
    </xdr:to>
    <xdr:sp macro="" textlink="">
      <xdr:nvSpPr>
        <xdr:cNvPr id="3" name="Rectangle: Single Corner Rounded 2">
          <a:extLst>
            <a:ext uri="{FF2B5EF4-FFF2-40B4-BE49-F238E27FC236}">
              <a16:creationId xmlns:a16="http://schemas.microsoft.com/office/drawing/2014/main" id="{920DC391-C5BA-D01E-19E7-FCCA3181D724}"/>
            </a:ext>
          </a:extLst>
        </xdr:cNvPr>
        <xdr:cNvSpPr/>
      </xdr:nvSpPr>
      <xdr:spPr>
        <a:xfrm>
          <a:off x="143983" y="685340"/>
          <a:ext cx="1539505" cy="891823"/>
        </a:xfrm>
        <a:prstGeom prst="round1Rect">
          <a:avLst/>
        </a:prstGeom>
        <a:solidFill>
          <a:schemeClr val="accent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36897</xdr:colOff>
      <xdr:row>3</xdr:row>
      <xdr:rowOff>148017</xdr:rowOff>
    </xdr:from>
    <xdr:to>
      <xdr:col>5</xdr:col>
      <xdr:colOff>531629</xdr:colOff>
      <xdr:row>8</xdr:row>
      <xdr:rowOff>88606</xdr:rowOff>
    </xdr:to>
    <xdr:sp macro="" textlink="">
      <xdr:nvSpPr>
        <xdr:cNvPr id="8" name="Rectangle: Single Corner Rounded 7">
          <a:extLst>
            <a:ext uri="{FF2B5EF4-FFF2-40B4-BE49-F238E27FC236}">
              <a16:creationId xmlns:a16="http://schemas.microsoft.com/office/drawing/2014/main" id="{3F4BEAEB-463C-0D0C-376E-5B29C74AC9F8}"/>
            </a:ext>
          </a:extLst>
        </xdr:cNvPr>
        <xdr:cNvSpPr/>
      </xdr:nvSpPr>
      <xdr:spPr>
        <a:xfrm>
          <a:off x="1871013" y="706226"/>
          <a:ext cx="1717476" cy="870938"/>
        </a:xfrm>
        <a:prstGeom prst="round1Rect">
          <a:avLst/>
        </a:prstGeom>
        <a:solidFill>
          <a:schemeClr val="accent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88605</xdr:colOff>
      <xdr:row>9</xdr:row>
      <xdr:rowOff>13381</xdr:rowOff>
    </xdr:from>
    <xdr:to>
      <xdr:col>2</xdr:col>
      <xdr:colOff>587022</xdr:colOff>
      <xdr:row>23</xdr:row>
      <xdr:rowOff>51179</xdr:rowOff>
    </xdr:to>
    <xdr:sp macro="" textlink="">
      <xdr:nvSpPr>
        <xdr:cNvPr id="12" name="Rectangle: Rounded Corners 11">
          <a:extLst>
            <a:ext uri="{FF2B5EF4-FFF2-40B4-BE49-F238E27FC236}">
              <a16:creationId xmlns:a16="http://schemas.microsoft.com/office/drawing/2014/main" id="{CAB5B6A2-4027-D607-97DB-27D94164AC98}"/>
            </a:ext>
          </a:extLst>
        </xdr:cNvPr>
        <xdr:cNvSpPr/>
      </xdr:nvSpPr>
      <xdr:spPr>
        <a:xfrm>
          <a:off x="88605" y="1651112"/>
          <a:ext cx="1715342" cy="2602440"/>
        </a:xfrm>
        <a:prstGeom prst="roundRect">
          <a:avLst/>
        </a:prstGeom>
        <a:solidFill>
          <a:schemeClr val="accent3">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166958</xdr:colOff>
      <xdr:row>16</xdr:row>
      <xdr:rowOff>129842</xdr:rowOff>
    </xdr:from>
    <xdr:to>
      <xdr:col>6</xdr:col>
      <xdr:colOff>233404</xdr:colOff>
      <xdr:row>23</xdr:row>
      <xdr:rowOff>75512</xdr:rowOff>
    </xdr:to>
    <xdr:sp macro="" textlink="">
      <xdr:nvSpPr>
        <xdr:cNvPr id="17" name="Rectangle 16">
          <a:extLst>
            <a:ext uri="{FF2B5EF4-FFF2-40B4-BE49-F238E27FC236}">
              <a16:creationId xmlns:a16="http://schemas.microsoft.com/office/drawing/2014/main" id="{67D0FDC8-7005-E092-307B-94021BF309E1}"/>
            </a:ext>
          </a:extLst>
        </xdr:cNvPr>
        <xdr:cNvSpPr/>
      </xdr:nvSpPr>
      <xdr:spPr>
        <a:xfrm>
          <a:off x="1999877" y="3095464"/>
          <a:ext cx="1899365" cy="1256859"/>
        </a:xfrm>
        <a:prstGeom prst="rect">
          <a:avLst/>
        </a:prstGeom>
        <a:solidFill>
          <a:schemeClr val="accent3">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xdr:col>
      <xdr:colOff>201677</xdr:colOff>
      <xdr:row>17</xdr:row>
      <xdr:rowOff>362</xdr:rowOff>
    </xdr:from>
    <xdr:to>
      <xdr:col>6</xdr:col>
      <xdr:colOff>214668</xdr:colOff>
      <xdr:row>23</xdr:row>
      <xdr:rowOff>15642</xdr:rowOff>
    </xdr:to>
    <xdr:pic>
      <xdr:nvPicPr>
        <xdr:cNvPr id="20" name="Picture 19">
          <a:extLst>
            <a:ext uri="{FF2B5EF4-FFF2-40B4-BE49-F238E27FC236}">
              <a16:creationId xmlns:a16="http://schemas.microsoft.com/office/drawing/2014/main" id="{6FEBD7EF-2D80-131D-24A9-DB3CBE79E80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34596" y="3151335"/>
          <a:ext cx="1845910" cy="11411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299024</xdr:colOff>
      <xdr:row>16</xdr:row>
      <xdr:rowOff>127307</xdr:rowOff>
    </xdr:from>
    <xdr:to>
      <xdr:col>11</xdr:col>
      <xdr:colOff>373064</xdr:colOff>
      <xdr:row>25</xdr:row>
      <xdr:rowOff>15874</xdr:rowOff>
    </xdr:to>
    <xdr:sp macro="" textlink="">
      <xdr:nvSpPr>
        <xdr:cNvPr id="5" name="Flowchart: Alternate Process 4">
          <a:extLst>
            <a:ext uri="{FF2B5EF4-FFF2-40B4-BE49-F238E27FC236}">
              <a16:creationId xmlns:a16="http://schemas.microsoft.com/office/drawing/2014/main" id="{961A0E78-9E32-F64B-C10E-ED73E8BE6F1D}"/>
            </a:ext>
          </a:extLst>
        </xdr:cNvPr>
        <xdr:cNvSpPr/>
      </xdr:nvSpPr>
      <xdr:spPr>
        <a:xfrm>
          <a:off x="3966149" y="3048307"/>
          <a:ext cx="3129978" cy="1547505"/>
        </a:xfrm>
        <a:prstGeom prst="flowChartAlternateProcess">
          <a:avLst/>
        </a:prstGeom>
        <a:gradFill flip="none" rotWithShape="1">
          <a:gsLst>
            <a:gs pos="0">
              <a:schemeClr val="accent3">
                <a:lumMod val="0"/>
                <a:lumOff val="100000"/>
              </a:schemeClr>
            </a:gs>
            <a:gs pos="79000">
              <a:schemeClr val="accent3">
                <a:lumMod val="100000"/>
              </a:schemeClr>
            </a:gs>
          </a:gsLst>
          <a:path path="circle">
            <a:fillToRect l="100000" b="100000"/>
          </a:path>
          <a:tileRect t="-100000" r="-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540874</xdr:colOff>
      <xdr:row>17</xdr:row>
      <xdr:rowOff>26159</xdr:rowOff>
    </xdr:from>
    <xdr:to>
      <xdr:col>11</xdr:col>
      <xdr:colOff>531813</xdr:colOff>
      <xdr:row>25</xdr:row>
      <xdr:rowOff>71438</xdr:rowOff>
    </xdr:to>
    <xdr:graphicFrame macro="">
      <xdr:nvGraphicFramePr>
        <xdr:cNvPr id="21" name="Chart 20">
          <a:extLst>
            <a:ext uri="{FF2B5EF4-FFF2-40B4-BE49-F238E27FC236}">
              <a16:creationId xmlns:a16="http://schemas.microsoft.com/office/drawing/2014/main" id="{5F98F038-3695-45A5-BB36-6E17C269B4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355600</xdr:colOff>
      <xdr:row>25</xdr:row>
      <xdr:rowOff>70338</xdr:rowOff>
    </xdr:from>
    <xdr:to>
      <xdr:col>10</xdr:col>
      <xdr:colOff>513347</xdr:colOff>
      <xdr:row>33</xdr:row>
      <xdr:rowOff>64168</xdr:rowOff>
    </xdr:to>
    <xdr:sp macro="" textlink="">
      <xdr:nvSpPr>
        <xdr:cNvPr id="22" name="Flowchart: Alternate Process 21">
          <a:extLst>
            <a:ext uri="{FF2B5EF4-FFF2-40B4-BE49-F238E27FC236}">
              <a16:creationId xmlns:a16="http://schemas.microsoft.com/office/drawing/2014/main" id="{339EBC9A-2C66-C71C-9630-5B9258E4E2CF}"/>
            </a:ext>
          </a:extLst>
        </xdr:cNvPr>
        <xdr:cNvSpPr/>
      </xdr:nvSpPr>
      <xdr:spPr>
        <a:xfrm>
          <a:off x="4013200" y="4630615"/>
          <a:ext cx="2596147" cy="1447491"/>
        </a:xfrm>
        <a:prstGeom prst="flowChartAlternateProcess">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543614</xdr:colOff>
      <xdr:row>25</xdr:row>
      <xdr:rowOff>68677</xdr:rowOff>
    </xdr:from>
    <xdr:to>
      <xdr:col>14</xdr:col>
      <xdr:colOff>474394</xdr:colOff>
      <xdr:row>33</xdr:row>
      <xdr:rowOff>76870</xdr:rowOff>
    </xdr:to>
    <xdr:sp macro="" textlink="">
      <xdr:nvSpPr>
        <xdr:cNvPr id="29" name="Flowchart: Alternate Process 28">
          <a:extLst>
            <a:ext uri="{FF2B5EF4-FFF2-40B4-BE49-F238E27FC236}">
              <a16:creationId xmlns:a16="http://schemas.microsoft.com/office/drawing/2014/main" id="{421C081E-6950-6962-79E4-65B5F650593A}"/>
            </a:ext>
          </a:extLst>
        </xdr:cNvPr>
        <xdr:cNvSpPr/>
      </xdr:nvSpPr>
      <xdr:spPr>
        <a:xfrm>
          <a:off x="6619019" y="4712758"/>
          <a:ext cx="2360943" cy="1491004"/>
        </a:xfrm>
        <a:prstGeom prst="flowChartAlternateProcess">
          <a:avLst/>
        </a:prstGeom>
        <a:gradFill flip="none" rotWithShape="1">
          <a:gsLst>
            <a:gs pos="0">
              <a:schemeClr val="accent3">
                <a:lumMod val="0"/>
                <a:lumOff val="100000"/>
              </a:schemeClr>
            </a:gs>
            <a:gs pos="10000">
              <a:schemeClr val="accent3">
                <a:lumMod val="0"/>
                <a:lumOff val="100000"/>
              </a:schemeClr>
            </a:gs>
            <a:gs pos="100000">
              <a:schemeClr val="accent3">
                <a:lumMod val="100000"/>
              </a:schemeClr>
            </a:gs>
          </a:gsLst>
          <a:path path="circle">
            <a:fillToRect l="50000" t="-80000" r="50000" b="180000"/>
          </a:path>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494723</xdr:colOff>
      <xdr:row>23</xdr:row>
      <xdr:rowOff>135843</xdr:rowOff>
    </xdr:from>
    <xdr:to>
      <xdr:col>6</xdr:col>
      <xdr:colOff>198328</xdr:colOff>
      <xdr:row>34</xdr:row>
      <xdr:rowOff>59151</xdr:rowOff>
    </xdr:to>
    <xdr:sp macro="" textlink="">
      <xdr:nvSpPr>
        <xdr:cNvPr id="30" name="Flowchart: Alternate Process 29">
          <a:extLst>
            <a:ext uri="{FF2B5EF4-FFF2-40B4-BE49-F238E27FC236}">
              <a16:creationId xmlns:a16="http://schemas.microsoft.com/office/drawing/2014/main" id="{CC7FE43E-A9B6-91F0-DFD1-FFF536CE482A}"/>
            </a:ext>
          </a:extLst>
        </xdr:cNvPr>
        <xdr:cNvSpPr/>
      </xdr:nvSpPr>
      <xdr:spPr>
        <a:xfrm>
          <a:off x="2321435" y="4391213"/>
          <a:ext cx="1530318" cy="1951828"/>
        </a:xfrm>
        <a:prstGeom prst="flowChartAlternateProcess">
          <a:avLst/>
        </a:prstGeom>
        <a:gradFill>
          <a:gsLst>
            <a:gs pos="0">
              <a:schemeClr val="accent3">
                <a:lumMod val="0"/>
                <a:lumOff val="100000"/>
              </a:schemeClr>
            </a:gs>
            <a:gs pos="35000">
              <a:schemeClr val="accent3">
                <a:lumMod val="0"/>
                <a:lumOff val="100000"/>
              </a:schemeClr>
            </a:gs>
            <a:gs pos="100000">
              <a:schemeClr val="accent3">
                <a:lumMod val="100000"/>
              </a:schemeClr>
            </a:gs>
          </a:gsLst>
          <a:path path="circle">
            <a:fillToRect l="50000" t="-80000" r="50000" b="180000"/>
          </a:path>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126337</xdr:colOff>
      <xdr:row>24</xdr:row>
      <xdr:rowOff>25887</xdr:rowOff>
    </xdr:from>
    <xdr:to>
      <xdr:col>3</xdr:col>
      <xdr:colOff>407582</xdr:colOff>
      <xdr:row>34</xdr:row>
      <xdr:rowOff>-1</xdr:rowOff>
    </xdr:to>
    <xdr:sp macro="" textlink="">
      <xdr:nvSpPr>
        <xdr:cNvPr id="31" name="Flowchart: Alternate Process 30">
          <a:extLst>
            <a:ext uri="{FF2B5EF4-FFF2-40B4-BE49-F238E27FC236}">
              <a16:creationId xmlns:a16="http://schemas.microsoft.com/office/drawing/2014/main" id="{755F79DB-7E5A-6FC9-3085-E0F3F1571925}"/>
            </a:ext>
          </a:extLst>
        </xdr:cNvPr>
        <xdr:cNvSpPr/>
      </xdr:nvSpPr>
      <xdr:spPr>
        <a:xfrm>
          <a:off x="126337" y="4500422"/>
          <a:ext cx="2115361" cy="1834810"/>
        </a:xfrm>
        <a:prstGeom prst="flowChartAlternateProcess">
          <a:avLst/>
        </a:prstGeom>
        <a:gradFill flip="none" rotWithShape="1">
          <a:gsLst>
            <a:gs pos="38000">
              <a:srgbClr val="CDDDAC"/>
            </a:gs>
            <a:gs pos="0">
              <a:schemeClr val="accent3">
                <a:lumMod val="0"/>
                <a:lumOff val="100000"/>
              </a:schemeClr>
            </a:gs>
            <a:gs pos="97000">
              <a:schemeClr val="accent3">
                <a:lumMod val="100000"/>
              </a:schemeClr>
            </a:gs>
          </a:gsLst>
          <a:path path="circle">
            <a:fillToRect l="100000" t="100000"/>
          </a:path>
          <a:tileRect r="-100000" b="-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457357</xdr:colOff>
      <xdr:row>16</xdr:row>
      <xdr:rowOff>57453</xdr:rowOff>
    </xdr:from>
    <xdr:to>
      <xdr:col>14</xdr:col>
      <xdr:colOff>460377</xdr:colOff>
      <xdr:row>25</xdr:row>
      <xdr:rowOff>51405</xdr:rowOff>
    </xdr:to>
    <xdr:sp macro="" textlink="">
      <xdr:nvSpPr>
        <xdr:cNvPr id="32" name="Flowchart: Alternate Process 31">
          <a:extLst>
            <a:ext uri="{FF2B5EF4-FFF2-40B4-BE49-F238E27FC236}">
              <a16:creationId xmlns:a16="http://schemas.microsoft.com/office/drawing/2014/main" id="{56B2C702-2631-DEBB-D326-1515A2DB355F}"/>
            </a:ext>
          </a:extLst>
        </xdr:cNvPr>
        <xdr:cNvSpPr/>
      </xdr:nvSpPr>
      <xdr:spPr>
        <a:xfrm>
          <a:off x="7176262" y="2960310"/>
          <a:ext cx="1835448" cy="1644952"/>
        </a:xfrm>
        <a:prstGeom prst="flowChartAlternateProcess">
          <a:avLst/>
        </a:prstGeom>
        <a:gradFill flip="none" rotWithShape="1">
          <a:gsLst>
            <a:gs pos="0">
              <a:schemeClr val="accent3">
                <a:lumMod val="0"/>
                <a:lumOff val="100000"/>
              </a:schemeClr>
            </a:gs>
            <a:gs pos="31000">
              <a:srgbClr val="CADBA7"/>
            </a:gs>
            <a:gs pos="79000">
              <a:schemeClr val="accent3">
                <a:lumMod val="100000"/>
              </a:schemeClr>
            </a:gs>
          </a:gsLst>
          <a:path path="circle">
            <a:fillToRect l="100000" t="100000"/>
          </a:path>
          <a:tileRect r="-100000" b="-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495903</xdr:colOff>
      <xdr:row>16</xdr:row>
      <xdr:rowOff>99787</xdr:rowOff>
    </xdr:from>
    <xdr:to>
      <xdr:col>14</xdr:col>
      <xdr:colOff>402166</xdr:colOff>
      <xdr:row>24</xdr:row>
      <xdr:rowOff>166311</xdr:rowOff>
    </xdr:to>
    <xdr:graphicFrame macro="">
      <xdr:nvGraphicFramePr>
        <xdr:cNvPr id="33" name="Chart 32">
          <a:extLst>
            <a:ext uri="{FF2B5EF4-FFF2-40B4-BE49-F238E27FC236}">
              <a16:creationId xmlns:a16="http://schemas.microsoft.com/office/drawing/2014/main" id="{0C0EB2A4-187A-4F5E-92D2-5EC4E237DF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412778</xdr:colOff>
      <xdr:row>25</xdr:row>
      <xdr:rowOff>105508</xdr:rowOff>
    </xdr:from>
    <xdr:to>
      <xdr:col>10</xdr:col>
      <xdr:colOff>445478</xdr:colOff>
      <xdr:row>33</xdr:row>
      <xdr:rowOff>76200</xdr:rowOff>
    </xdr:to>
    <xdr:graphicFrame macro="">
      <xdr:nvGraphicFramePr>
        <xdr:cNvPr id="34" name="Chart 33">
          <a:extLst>
            <a:ext uri="{FF2B5EF4-FFF2-40B4-BE49-F238E27FC236}">
              <a16:creationId xmlns:a16="http://schemas.microsoft.com/office/drawing/2014/main" id="{C0886830-15BC-433F-A31F-E9B4B7050C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535373</xdr:colOff>
      <xdr:row>23</xdr:row>
      <xdr:rowOff>29109</xdr:rowOff>
    </xdr:from>
    <xdr:to>
      <xdr:col>6</xdr:col>
      <xdr:colOff>316629</xdr:colOff>
      <xdr:row>34</xdr:row>
      <xdr:rowOff>170494</xdr:rowOff>
    </xdr:to>
    <xdr:graphicFrame macro="">
      <xdr:nvGraphicFramePr>
        <xdr:cNvPr id="36" name="Chart 35">
          <a:extLst>
            <a:ext uri="{FF2B5EF4-FFF2-40B4-BE49-F238E27FC236}">
              <a16:creationId xmlns:a16="http://schemas.microsoft.com/office/drawing/2014/main" id="{E4D3EA66-549E-489A-84AF-9E5599C873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186070</xdr:colOff>
      <xdr:row>24</xdr:row>
      <xdr:rowOff>19465</xdr:rowOff>
    </xdr:from>
    <xdr:to>
      <xdr:col>3</xdr:col>
      <xdr:colOff>389862</xdr:colOff>
      <xdr:row>33</xdr:row>
      <xdr:rowOff>97465</xdr:rowOff>
    </xdr:to>
    <xdr:graphicFrame macro="">
      <xdr:nvGraphicFramePr>
        <xdr:cNvPr id="37" name="Chart 36">
          <a:extLst>
            <a:ext uri="{FF2B5EF4-FFF2-40B4-BE49-F238E27FC236}">
              <a16:creationId xmlns:a16="http://schemas.microsoft.com/office/drawing/2014/main" id="{D0291AAD-D676-4539-8C3F-05EE737B7A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67553</xdr:colOff>
      <xdr:row>25</xdr:row>
      <xdr:rowOff>110463</xdr:rowOff>
    </xdr:from>
    <xdr:to>
      <xdr:col>15</xdr:col>
      <xdr:colOff>27328</xdr:colOff>
      <xdr:row>33</xdr:row>
      <xdr:rowOff>17721</xdr:rowOff>
    </xdr:to>
    <xdr:graphicFrame macro="">
      <xdr:nvGraphicFramePr>
        <xdr:cNvPr id="38" name="Chart 37">
          <a:extLst>
            <a:ext uri="{FF2B5EF4-FFF2-40B4-BE49-F238E27FC236}">
              <a16:creationId xmlns:a16="http://schemas.microsoft.com/office/drawing/2014/main" id="{38535780-1173-4C68-AF30-633C93F569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153734</xdr:colOff>
      <xdr:row>0</xdr:row>
      <xdr:rowOff>161424</xdr:rowOff>
    </xdr:from>
    <xdr:to>
      <xdr:col>1</xdr:col>
      <xdr:colOff>496186</xdr:colOff>
      <xdr:row>3</xdr:row>
      <xdr:rowOff>26582</xdr:rowOff>
    </xdr:to>
    <xdr:pic>
      <xdr:nvPicPr>
        <xdr:cNvPr id="42" name="Picture 41">
          <a:extLst>
            <a:ext uri="{FF2B5EF4-FFF2-40B4-BE49-F238E27FC236}">
              <a16:creationId xmlns:a16="http://schemas.microsoft.com/office/drawing/2014/main" id="{35B8C896-CF68-8AAA-7FA0-8136450A3B5E}"/>
            </a:ext>
          </a:extLst>
        </xdr:cNvPr>
        <xdr:cNvPicPr>
          <a:picLocks noChangeAspect="1" noChangeArrowheads="1"/>
        </xdr:cNvPicPr>
      </xdr:nvPicPr>
      <xdr:blipFill rotWithShape="1">
        <a:blip xmlns:r="http://schemas.openxmlformats.org/officeDocument/2006/relationships" r:embed="rId8">
          <a:extLst>
            <a:ext uri="{28A0092B-C50C-407E-A947-70E740481C1C}">
              <a14:useLocalDpi xmlns:a14="http://schemas.microsoft.com/office/drawing/2010/main" val="0"/>
            </a:ext>
          </a:extLst>
        </a:blip>
        <a:srcRect r="54822" b="8219"/>
        <a:stretch>
          <a:fillRect/>
        </a:stretch>
      </xdr:blipFill>
      <xdr:spPr bwMode="auto">
        <a:xfrm>
          <a:off x="153734" y="161424"/>
          <a:ext cx="953824" cy="4233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557694</xdr:colOff>
      <xdr:row>0</xdr:row>
      <xdr:rowOff>114766</xdr:rowOff>
    </xdr:from>
    <xdr:to>
      <xdr:col>17</xdr:col>
      <xdr:colOff>483581</xdr:colOff>
      <xdr:row>3</xdr:row>
      <xdr:rowOff>44303</xdr:rowOff>
    </xdr:to>
    <xdr:pic>
      <xdr:nvPicPr>
        <xdr:cNvPr id="44" name="Picture 43">
          <a:extLst>
            <a:ext uri="{FF2B5EF4-FFF2-40B4-BE49-F238E27FC236}">
              <a16:creationId xmlns:a16="http://schemas.microsoft.com/office/drawing/2014/main" id="{2F70903D-91FA-7D4C-8863-E92FE874CF3B}"/>
            </a:ext>
          </a:extLst>
        </xdr:cNvPr>
        <xdr:cNvPicPr>
          <a:picLocks noChangeAspect="1" noChangeArrowheads="1"/>
        </xdr:cNvPicPr>
      </xdr:nvPicPr>
      <xdr:blipFill rotWithShape="1">
        <a:blip xmlns:r="http://schemas.openxmlformats.org/officeDocument/2006/relationships" r:embed="rId9">
          <a:extLst>
            <a:ext uri="{28A0092B-C50C-407E-A947-70E740481C1C}">
              <a14:useLocalDpi xmlns:a14="http://schemas.microsoft.com/office/drawing/2010/main" val="0"/>
            </a:ext>
          </a:extLst>
        </a:blip>
        <a:srcRect t="-3374" r="63094"/>
        <a:stretch>
          <a:fillRect/>
        </a:stretch>
      </xdr:blipFill>
      <xdr:spPr bwMode="auto">
        <a:xfrm>
          <a:off x="10339647" y="114766"/>
          <a:ext cx="537260" cy="487746"/>
        </a:xfrm>
        <a:prstGeom prst="rect">
          <a:avLst/>
        </a:prstGeom>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536232</xdr:colOff>
      <xdr:row>4</xdr:row>
      <xdr:rowOff>12917</xdr:rowOff>
    </xdr:from>
    <xdr:to>
      <xdr:col>3</xdr:col>
      <xdr:colOff>522768</xdr:colOff>
      <xdr:row>8</xdr:row>
      <xdr:rowOff>11539</xdr:rowOff>
    </xdr:to>
    <xdr:pic>
      <xdr:nvPicPr>
        <xdr:cNvPr id="45" name="Picture 44">
          <a:extLst>
            <a:ext uri="{FF2B5EF4-FFF2-40B4-BE49-F238E27FC236}">
              <a16:creationId xmlns:a16="http://schemas.microsoft.com/office/drawing/2014/main" id="{ABDB4231-B62E-4D9C-9D20-18FB3F17A069}"/>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 uri="{837473B0-CC2E-450A-ABE3-18F120FF3D39}">
              <a1611:picAttrSrcUrl xmlns:a1611="http://schemas.microsoft.com/office/drawing/2016/11/main" r:id="rId11"/>
            </a:ext>
          </a:extLst>
        </a:blip>
        <a:stretch>
          <a:fillRect/>
        </a:stretch>
      </xdr:blipFill>
      <xdr:spPr>
        <a:xfrm rot="10800000" flipV="1">
          <a:off x="1758976" y="757196"/>
          <a:ext cx="597908" cy="742901"/>
        </a:xfrm>
        <a:prstGeom prst="rect">
          <a:avLst/>
        </a:prstGeom>
      </xdr:spPr>
    </xdr:pic>
    <xdr:clientData/>
  </xdr:twoCellAnchor>
  <xdr:twoCellAnchor>
    <xdr:from>
      <xdr:col>3</xdr:col>
      <xdr:colOff>138380</xdr:colOff>
      <xdr:row>4</xdr:row>
      <xdr:rowOff>82470</xdr:rowOff>
    </xdr:from>
    <xdr:to>
      <xdr:col>6</xdr:col>
      <xdr:colOff>62022</xdr:colOff>
      <xdr:row>8</xdr:row>
      <xdr:rowOff>44303</xdr:rowOff>
    </xdr:to>
    <xdr:sp macro="" textlink="">
      <xdr:nvSpPr>
        <xdr:cNvPr id="46" name="TextBox 45">
          <a:extLst>
            <a:ext uri="{FF2B5EF4-FFF2-40B4-BE49-F238E27FC236}">
              <a16:creationId xmlns:a16="http://schemas.microsoft.com/office/drawing/2014/main" id="{A89659BA-8380-B68B-C3C4-98CE4C617D8F}"/>
            </a:ext>
          </a:extLst>
        </xdr:cNvPr>
        <xdr:cNvSpPr txBox="1"/>
      </xdr:nvSpPr>
      <xdr:spPr>
        <a:xfrm>
          <a:off x="1972496" y="826749"/>
          <a:ext cx="1757759" cy="7061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solidFill>
                <a:schemeClr val="bg1"/>
              </a:solidFill>
            </a:rPr>
            <a:t>TOTAL</a:t>
          </a:r>
          <a:r>
            <a:rPr lang="en-IN" sz="1200" b="1" baseline="0">
              <a:solidFill>
                <a:schemeClr val="bg1"/>
              </a:solidFill>
            </a:rPr>
            <a:t> ENERGY            DELIVERED</a:t>
          </a:r>
          <a:endParaRPr lang="en-IN" sz="1200" b="0" i="0" u="none" strike="noStrike" baseline="0">
            <a:solidFill>
              <a:schemeClr val="dk1"/>
            </a:solidFill>
            <a:effectLst/>
            <a:latin typeface="+mn-lt"/>
            <a:ea typeface="+mn-ea"/>
            <a:cs typeface="+mn-cs"/>
          </a:endParaRPr>
        </a:p>
        <a:p>
          <a:pPr algn="ctr"/>
          <a:r>
            <a:rPr lang="en-IN" sz="1200" b="1" i="0" u="none" strike="noStrike">
              <a:solidFill>
                <a:schemeClr val="bg1"/>
              </a:solidFill>
              <a:effectLst/>
              <a:latin typeface="+mn-lt"/>
              <a:ea typeface="+mn-ea"/>
              <a:cs typeface="+mn-cs"/>
            </a:rPr>
            <a:t>2865.9</a:t>
          </a:r>
          <a:r>
            <a:rPr lang="en-IN" sz="1200" b="1">
              <a:solidFill>
                <a:schemeClr val="bg1"/>
              </a:solidFill>
              <a:effectLst/>
            </a:rPr>
            <a:t> kWh</a:t>
          </a:r>
          <a:endParaRPr lang="en-IN" sz="1200" b="1" baseline="0">
            <a:solidFill>
              <a:schemeClr val="bg1"/>
            </a:solidFill>
          </a:endParaRPr>
        </a:p>
      </xdr:txBody>
    </xdr:sp>
    <xdr:clientData/>
  </xdr:twoCellAnchor>
  <xdr:twoCellAnchor editAs="oneCell">
    <xdr:from>
      <xdr:col>0</xdr:col>
      <xdr:colOff>155781</xdr:colOff>
      <xdr:row>4</xdr:row>
      <xdr:rowOff>44303</xdr:rowOff>
    </xdr:from>
    <xdr:to>
      <xdr:col>1</xdr:col>
      <xdr:colOff>556</xdr:colOff>
      <xdr:row>7</xdr:row>
      <xdr:rowOff>177210</xdr:rowOff>
    </xdr:to>
    <xdr:pic>
      <xdr:nvPicPr>
        <xdr:cNvPr id="48" name="Picture 47">
          <a:extLst>
            <a:ext uri="{FF2B5EF4-FFF2-40B4-BE49-F238E27FC236}">
              <a16:creationId xmlns:a16="http://schemas.microsoft.com/office/drawing/2014/main" id="{D3DAAEB8-066A-1C57-667E-62685557504D}"/>
            </a:ext>
          </a:extLst>
        </xdr:cNvPr>
        <xdr:cNvPicPr>
          <a:picLocks noChangeAspect="1"/>
        </xdr:cNvPicPr>
      </xdr:nvPicPr>
      <xdr:blipFill>
        <a:blip xmlns:r="http://schemas.openxmlformats.org/officeDocument/2006/relationships" r:embed="rId12" cstate="print">
          <a:extLst>
            <a:ext uri="{BEBA8EAE-BF5A-486C-A8C5-ECC9F3942E4B}">
              <a14:imgProps xmlns:a14="http://schemas.microsoft.com/office/drawing/2010/main">
                <a14:imgLayer r:embed="rId13">
                  <a14:imgEffect>
                    <a14:backgroundRemoval t="10000" b="90000" l="10000" r="90000">
                      <a14:foregroundMark x1="33491" y1="84783" x2="35849" y2="81366"/>
                    </a14:backgroundRemoval>
                  </a14:imgEffect>
                </a14:imgLayer>
              </a14:imgProps>
            </a:ext>
            <a:ext uri="{28A0092B-C50C-407E-A947-70E740481C1C}">
              <a14:useLocalDpi xmlns:a14="http://schemas.microsoft.com/office/drawing/2010/main" val="0"/>
            </a:ext>
            <a:ext uri="{837473B0-CC2E-450A-ABE3-18F120FF3D39}">
              <a1611:picAttrSrcUrl xmlns:a1611="http://schemas.microsoft.com/office/drawing/2016/11/main" r:id="rId14"/>
            </a:ext>
          </a:extLst>
        </a:blip>
        <a:stretch>
          <a:fillRect/>
        </a:stretch>
      </xdr:blipFill>
      <xdr:spPr>
        <a:xfrm>
          <a:off x="155781" y="788582"/>
          <a:ext cx="452446" cy="691116"/>
        </a:xfrm>
        <a:prstGeom prst="rect">
          <a:avLst/>
        </a:prstGeom>
      </xdr:spPr>
    </xdr:pic>
    <xdr:clientData/>
  </xdr:twoCellAnchor>
  <xdr:twoCellAnchor>
    <xdr:from>
      <xdr:col>26</xdr:col>
      <xdr:colOff>141489</xdr:colOff>
      <xdr:row>11</xdr:row>
      <xdr:rowOff>164943</xdr:rowOff>
    </xdr:from>
    <xdr:to>
      <xdr:col>29</xdr:col>
      <xdr:colOff>171062</xdr:colOff>
      <xdr:row>17</xdr:row>
      <xdr:rowOff>77755</xdr:rowOff>
    </xdr:to>
    <xdr:sp macro="" textlink="">
      <xdr:nvSpPr>
        <xdr:cNvPr id="57" name="TextBox 56">
          <a:extLst>
            <a:ext uri="{FF2B5EF4-FFF2-40B4-BE49-F238E27FC236}">
              <a16:creationId xmlns:a16="http://schemas.microsoft.com/office/drawing/2014/main" id="{8149172D-7E06-C7D6-0E85-886E8B18EDC0}"/>
            </a:ext>
          </a:extLst>
        </xdr:cNvPr>
        <xdr:cNvSpPr txBox="1"/>
      </xdr:nvSpPr>
      <xdr:spPr>
        <a:xfrm>
          <a:off x="15910224" y="2217678"/>
          <a:ext cx="1849042" cy="1032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22</xdr:col>
      <xdr:colOff>555296</xdr:colOff>
      <xdr:row>16</xdr:row>
      <xdr:rowOff>171821</xdr:rowOff>
    </xdr:from>
    <xdr:to>
      <xdr:col>26</xdr:col>
      <xdr:colOff>342937</xdr:colOff>
      <xdr:row>26</xdr:row>
      <xdr:rowOff>9899</xdr:rowOff>
    </xdr:to>
    <xdr:sp macro="" textlink="">
      <xdr:nvSpPr>
        <xdr:cNvPr id="60" name="TextBox 59">
          <a:extLst>
            <a:ext uri="{FF2B5EF4-FFF2-40B4-BE49-F238E27FC236}">
              <a16:creationId xmlns:a16="http://schemas.microsoft.com/office/drawing/2014/main" id="{CC633523-3EF1-88B8-747A-1D1A5CA08064}"/>
            </a:ext>
          </a:extLst>
        </xdr:cNvPr>
        <xdr:cNvSpPr txBox="1"/>
      </xdr:nvSpPr>
      <xdr:spPr>
        <a:xfrm>
          <a:off x="13839975" y="3162312"/>
          <a:ext cx="2203037" cy="13333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1</xdr:col>
      <xdr:colOff>32388</xdr:colOff>
      <xdr:row>8</xdr:row>
      <xdr:rowOff>162679</xdr:rowOff>
    </xdr:from>
    <xdr:to>
      <xdr:col>1</xdr:col>
      <xdr:colOff>576718</xdr:colOff>
      <xdr:row>10</xdr:row>
      <xdr:rowOff>102256</xdr:rowOff>
    </xdr:to>
    <xdr:sp macro="" textlink="">
      <xdr:nvSpPr>
        <xdr:cNvPr id="64" name="TextBox 63">
          <a:extLst>
            <a:ext uri="{FF2B5EF4-FFF2-40B4-BE49-F238E27FC236}">
              <a16:creationId xmlns:a16="http://schemas.microsoft.com/office/drawing/2014/main" id="{29CC4814-483B-4444-B5E2-3DA571B54F85}"/>
            </a:ext>
          </a:extLst>
        </xdr:cNvPr>
        <xdr:cNvSpPr txBox="1"/>
      </xdr:nvSpPr>
      <xdr:spPr>
        <a:xfrm>
          <a:off x="641988" y="1607657"/>
          <a:ext cx="544330" cy="3008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solidFill>
            </a:rPr>
            <a:t>CITY</a:t>
          </a:r>
        </a:p>
      </xdr:txBody>
    </xdr:sp>
    <xdr:clientData/>
  </xdr:twoCellAnchor>
  <xdr:twoCellAnchor>
    <xdr:from>
      <xdr:col>0</xdr:col>
      <xdr:colOff>336698</xdr:colOff>
      <xdr:row>4</xdr:row>
      <xdr:rowOff>7566</xdr:rowOff>
    </xdr:from>
    <xdr:to>
      <xdr:col>2</xdr:col>
      <xdr:colOff>593651</xdr:colOff>
      <xdr:row>8</xdr:row>
      <xdr:rowOff>159488</xdr:rowOff>
    </xdr:to>
    <xdr:sp macro="" textlink="">
      <xdr:nvSpPr>
        <xdr:cNvPr id="65" name="TextBox 64">
          <a:extLst>
            <a:ext uri="{FF2B5EF4-FFF2-40B4-BE49-F238E27FC236}">
              <a16:creationId xmlns:a16="http://schemas.microsoft.com/office/drawing/2014/main" id="{81E641BF-D325-F9CC-6FAA-E9E8BB5251B9}"/>
            </a:ext>
          </a:extLst>
        </xdr:cNvPr>
        <xdr:cNvSpPr txBox="1"/>
      </xdr:nvSpPr>
      <xdr:spPr>
        <a:xfrm>
          <a:off x="336698" y="751845"/>
          <a:ext cx="1479697" cy="8962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bg1"/>
              </a:solidFill>
            </a:rPr>
            <a:t>TOTAL SESSIONS</a:t>
          </a:r>
        </a:p>
        <a:p>
          <a:pPr algn="ctr"/>
          <a:r>
            <a:rPr lang="en-IN" sz="1600" b="1">
              <a:solidFill>
                <a:schemeClr val="bg1"/>
              </a:solidFill>
            </a:rPr>
            <a:t>121</a:t>
          </a:r>
        </a:p>
      </xdr:txBody>
    </xdr:sp>
    <xdr:clientData/>
  </xdr:twoCellAnchor>
  <xdr:twoCellAnchor editAs="oneCell">
    <xdr:from>
      <xdr:col>0</xdr:col>
      <xdr:colOff>196041</xdr:colOff>
      <xdr:row>9</xdr:row>
      <xdr:rowOff>23717</xdr:rowOff>
    </xdr:from>
    <xdr:to>
      <xdr:col>0</xdr:col>
      <xdr:colOff>575733</xdr:colOff>
      <xdr:row>10</xdr:row>
      <xdr:rowOff>78737</xdr:rowOff>
    </xdr:to>
    <xdr:pic>
      <xdr:nvPicPr>
        <xdr:cNvPr id="69" name="Graphic 68" descr="City with solid fill">
          <a:extLst>
            <a:ext uri="{FF2B5EF4-FFF2-40B4-BE49-F238E27FC236}">
              <a16:creationId xmlns:a16="http://schemas.microsoft.com/office/drawing/2014/main" id="{53A3E80C-1414-D460-BA0E-C71481D566A5}"/>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96041" y="1649317"/>
          <a:ext cx="379692" cy="235642"/>
        </a:xfrm>
        <a:prstGeom prst="rect">
          <a:avLst/>
        </a:prstGeom>
      </xdr:spPr>
    </xdr:pic>
    <xdr:clientData/>
  </xdr:twoCellAnchor>
  <xdr:twoCellAnchor editAs="oneCell">
    <xdr:from>
      <xdr:col>0</xdr:col>
      <xdr:colOff>267323</xdr:colOff>
      <xdr:row>10</xdr:row>
      <xdr:rowOff>61879</xdr:rowOff>
    </xdr:from>
    <xdr:to>
      <xdr:col>2</xdr:col>
      <xdr:colOff>406400</xdr:colOff>
      <xdr:row>22</xdr:row>
      <xdr:rowOff>159224</xdr:rowOff>
    </xdr:to>
    <mc:AlternateContent xmlns:mc="http://schemas.openxmlformats.org/markup-compatibility/2006">
      <mc:Choice xmlns:a14="http://schemas.microsoft.com/office/drawing/2010/main" Requires="a14">
        <xdr:graphicFrame macro="">
          <xdr:nvGraphicFramePr>
            <xdr:cNvPr id="7" name="City">
              <a:extLst>
                <a:ext uri="{FF2B5EF4-FFF2-40B4-BE49-F238E27FC236}">
                  <a16:creationId xmlns:a16="http://schemas.microsoft.com/office/drawing/2014/main" id="{D5D7CA8E-0D64-471C-9175-A03EFA370B7C}"/>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267323" y="1915393"/>
              <a:ext cx="1354158" cy="23318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44303</xdr:colOff>
      <xdr:row>3</xdr:row>
      <xdr:rowOff>150629</xdr:rowOff>
    </xdr:from>
    <xdr:to>
      <xdr:col>8</xdr:col>
      <xdr:colOff>539035</xdr:colOff>
      <xdr:row>8</xdr:row>
      <xdr:rowOff>91218</xdr:rowOff>
    </xdr:to>
    <xdr:sp macro="" textlink="">
      <xdr:nvSpPr>
        <xdr:cNvPr id="19" name="Rectangle: Single Corner Rounded 18">
          <a:extLst>
            <a:ext uri="{FF2B5EF4-FFF2-40B4-BE49-F238E27FC236}">
              <a16:creationId xmlns:a16="http://schemas.microsoft.com/office/drawing/2014/main" id="{9B4B93A1-40D2-4895-A8C9-F376F5D0726F}"/>
            </a:ext>
          </a:extLst>
        </xdr:cNvPr>
        <xdr:cNvSpPr/>
      </xdr:nvSpPr>
      <xdr:spPr>
        <a:xfrm>
          <a:off x="3712536" y="708838"/>
          <a:ext cx="1717476" cy="870938"/>
        </a:xfrm>
        <a:prstGeom prst="round1Rect">
          <a:avLst/>
        </a:prstGeom>
        <a:solidFill>
          <a:schemeClr val="accent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35442</xdr:colOff>
      <xdr:row>3</xdr:row>
      <xdr:rowOff>150628</xdr:rowOff>
    </xdr:from>
    <xdr:to>
      <xdr:col>11</xdr:col>
      <xdr:colOff>530174</xdr:colOff>
      <xdr:row>8</xdr:row>
      <xdr:rowOff>91217</xdr:rowOff>
    </xdr:to>
    <xdr:sp macro="" textlink="">
      <xdr:nvSpPr>
        <xdr:cNvPr id="23" name="Rectangle: Single Corner Rounded 22">
          <a:extLst>
            <a:ext uri="{FF2B5EF4-FFF2-40B4-BE49-F238E27FC236}">
              <a16:creationId xmlns:a16="http://schemas.microsoft.com/office/drawing/2014/main" id="{DA860B33-222B-4D8C-9C8A-0EED64D54EBB}"/>
            </a:ext>
          </a:extLst>
        </xdr:cNvPr>
        <xdr:cNvSpPr/>
      </xdr:nvSpPr>
      <xdr:spPr>
        <a:xfrm>
          <a:off x="5537791" y="708837"/>
          <a:ext cx="1717476" cy="870938"/>
        </a:xfrm>
        <a:prstGeom prst="round1Rect">
          <a:avLst/>
        </a:prstGeom>
        <a:solidFill>
          <a:schemeClr val="accent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53163</xdr:colOff>
      <xdr:row>3</xdr:row>
      <xdr:rowOff>177210</xdr:rowOff>
    </xdr:from>
    <xdr:to>
      <xdr:col>14</xdr:col>
      <xdr:colOff>547895</xdr:colOff>
      <xdr:row>8</xdr:row>
      <xdr:rowOff>117799</xdr:rowOff>
    </xdr:to>
    <xdr:sp macro="" textlink="">
      <xdr:nvSpPr>
        <xdr:cNvPr id="24" name="Rectangle: Single Corner Rounded 23">
          <a:extLst>
            <a:ext uri="{FF2B5EF4-FFF2-40B4-BE49-F238E27FC236}">
              <a16:creationId xmlns:a16="http://schemas.microsoft.com/office/drawing/2014/main" id="{19CDBD97-D70D-489E-AF96-258859C5C9B3}"/>
            </a:ext>
          </a:extLst>
        </xdr:cNvPr>
        <xdr:cNvSpPr/>
      </xdr:nvSpPr>
      <xdr:spPr>
        <a:xfrm>
          <a:off x="7389628" y="735419"/>
          <a:ext cx="1717476" cy="870938"/>
        </a:xfrm>
        <a:prstGeom prst="round1Rect">
          <a:avLst/>
        </a:prstGeom>
        <a:solidFill>
          <a:schemeClr val="accent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5</xdr:col>
      <xdr:colOff>494617</xdr:colOff>
      <xdr:row>4</xdr:row>
      <xdr:rowOff>12502</xdr:rowOff>
    </xdr:from>
    <xdr:to>
      <xdr:col>7</xdr:col>
      <xdr:colOff>20601</xdr:colOff>
      <xdr:row>8</xdr:row>
      <xdr:rowOff>35443</xdr:rowOff>
    </xdr:to>
    <xdr:pic>
      <xdr:nvPicPr>
        <xdr:cNvPr id="54" name="Picture 53">
          <a:extLst>
            <a:ext uri="{FF2B5EF4-FFF2-40B4-BE49-F238E27FC236}">
              <a16:creationId xmlns:a16="http://schemas.microsoft.com/office/drawing/2014/main" id="{1FDD2181-F5A8-8617-A681-C92B8AB57051}"/>
            </a:ext>
          </a:extLst>
        </xdr:cNvPr>
        <xdr:cNvPicPr>
          <a:picLocks noChangeAspect="1"/>
        </xdr:cNvPicPr>
      </xdr:nvPicPr>
      <xdr:blipFill>
        <a:blip xmlns:r="http://schemas.openxmlformats.org/officeDocument/2006/relationships" r:embed="rId17" cstate="print">
          <a:extLst>
            <a:ext uri="{BEBA8EAE-BF5A-486C-A8C5-ECC9F3942E4B}">
              <a14:imgProps xmlns:a14="http://schemas.microsoft.com/office/drawing/2010/main">
                <a14:imgLayer r:embed="rId18">
                  <a14:imgEffect>
                    <a14:backgroundRemoval t="10000" b="90000" l="10000" r="90000"/>
                  </a14:imgEffect>
                </a14:imgLayer>
              </a14:imgProps>
            </a:ext>
            <a:ext uri="{28A0092B-C50C-407E-A947-70E740481C1C}">
              <a14:useLocalDpi xmlns:a14="http://schemas.microsoft.com/office/drawing/2010/main" val="0"/>
            </a:ext>
            <a:ext uri="{837473B0-CC2E-450A-ABE3-18F120FF3D39}">
              <a1611:picAttrSrcUrl xmlns:a1611="http://schemas.microsoft.com/office/drawing/2016/11/main" r:id="rId19"/>
            </a:ext>
          </a:extLst>
        </a:blip>
        <a:stretch>
          <a:fillRect/>
        </a:stretch>
      </xdr:blipFill>
      <xdr:spPr>
        <a:xfrm>
          <a:off x="3551477" y="756781"/>
          <a:ext cx="748729" cy="767220"/>
        </a:xfrm>
        <a:prstGeom prst="rect">
          <a:avLst/>
        </a:prstGeom>
      </xdr:spPr>
    </xdr:pic>
    <xdr:clientData/>
  </xdr:twoCellAnchor>
  <xdr:twoCellAnchor>
    <xdr:from>
      <xdr:col>6</xdr:col>
      <xdr:colOff>230372</xdr:colOff>
      <xdr:row>4</xdr:row>
      <xdr:rowOff>126947</xdr:rowOff>
    </xdr:from>
    <xdr:to>
      <xdr:col>9</xdr:col>
      <xdr:colOff>30198</xdr:colOff>
      <xdr:row>7</xdr:row>
      <xdr:rowOff>124047</xdr:rowOff>
    </xdr:to>
    <xdr:sp macro="" textlink="">
      <xdr:nvSpPr>
        <xdr:cNvPr id="66" name="TextBox 65">
          <a:extLst>
            <a:ext uri="{FF2B5EF4-FFF2-40B4-BE49-F238E27FC236}">
              <a16:creationId xmlns:a16="http://schemas.microsoft.com/office/drawing/2014/main" id="{8713BB0B-EBE8-865D-E8D6-E4AAE3C8E561}"/>
            </a:ext>
          </a:extLst>
        </xdr:cNvPr>
        <xdr:cNvSpPr txBox="1"/>
      </xdr:nvSpPr>
      <xdr:spPr>
        <a:xfrm>
          <a:off x="3898605" y="871226"/>
          <a:ext cx="1633942" cy="5553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solidFill>
                <a:schemeClr val="bg1"/>
              </a:solidFill>
            </a:rPr>
            <a:t>TOTAL REVENUE</a:t>
          </a:r>
        </a:p>
        <a:p>
          <a:pPr algn="ctr"/>
          <a:r>
            <a:rPr lang="en-IN" sz="1200" b="1">
              <a:solidFill>
                <a:schemeClr val="bg1"/>
              </a:solidFill>
            </a:rPr>
            <a:t>51738.6 </a:t>
          </a:r>
        </a:p>
      </xdr:txBody>
    </xdr:sp>
    <xdr:clientData/>
  </xdr:twoCellAnchor>
  <xdr:twoCellAnchor editAs="oneCell">
    <xdr:from>
      <xdr:col>9</xdr:col>
      <xdr:colOff>13114</xdr:colOff>
      <xdr:row>4</xdr:row>
      <xdr:rowOff>40791</xdr:rowOff>
    </xdr:from>
    <xdr:to>
      <xdr:col>9</xdr:col>
      <xdr:colOff>558210</xdr:colOff>
      <xdr:row>7</xdr:row>
      <xdr:rowOff>79746</xdr:rowOff>
    </xdr:to>
    <xdr:pic>
      <xdr:nvPicPr>
        <xdr:cNvPr id="52" name="Graphic 51" descr="Clock with solid fill">
          <a:extLst>
            <a:ext uri="{FF2B5EF4-FFF2-40B4-BE49-F238E27FC236}">
              <a16:creationId xmlns:a16="http://schemas.microsoft.com/office/drawing/2014/main" id="{32C793B8-3A0E-22FB-BE4D-39F85BA4FB55}"/>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5515463" y="785070"/>
          <a:ext cx="545096" cy="597164"/>
        </a:xfrm>
        <a:prstGeom prst="rect">
          <a:avLst/>
        </a:prstGeom>
      </xdr:spPr>
    </xdr:pic>
    <xdr:clientData/>
  </xdr:twoCellAnchor>
  <xdr:twoCellAnchor>
    <xdr:from>
      <xdr:col>9</xdr:col>
      <xdr:colOff>487326</xdr:colOff>
      <xdr:row>4</xdr:row>
      <xdr:rowOff>81253</xdr:rowOff>
    </xdr:from>
    <xdr:to>
      <xdr:col>11</xdr:col>
      <xdr:colOff>503696</xdr:colOff>
      <xdr:row>8</xdr:row>
      <xdr:rowOff>1</xdr:rowOff>
    </xdr:to>
    <xdr:sp macro="" textlink="">
      <xdr:nvSpPr>
        <xdr:cNvPr id="59" name="TextBox 58">
          <a:extLst>
            <a:ext uri="{FF2B5EF4-FFF2-40B4-BE49-F238E27FC236}">
              <a16:creationId xmlns:a16="http://schemas.microsoft.com/office/drawing/2014/main" id="{12A094B3-8461-6834-4145-17488DF56AB3}"/>
            </a:ext>
          </a:extLst>
        </xdr:cNvPr>
        <xdr:cNvSpPr txBox="1"/>
      </xdr:nvSpPr>
      <xdr:spPr>
        <a:xfrm>
          <a:off x="5989675" y="825532"/>
          <a:ext cx="1239114" cy="6630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solidFill>
                <a:schemeClr val="bg1"/>
              </a:solidFill>
            </a:rPr>
            <a:t>AVG. CHARGING</a:t>
          </a:r>
        </a:p>
        <a:p>
          <a:pPr algn="ctr"/>
          <a:r>
            <a:rPr lang="en-IN" sz="1200" b="1">
              <a:solidFill>
                <a:schemeClr val="bg1"/>
              </a:solidFill>
            </a:rPr>
            <a:t>DURATION</a:t>
          </a:r>
        </a:p>
        <a:p>
          <a:pPr algn="ctr"/>
          <a:r>
            <a:rPr lang="en-IN" sz="1200" b="1">
              <a:solidFill>
                <a:schemeClr val="bg1"/>
              </a:solidFill>
            </a:rPr>
            <a:t>67 MINS</a:t>
          </a:r>
        </a:p>
      </xdr:txBody>
    </xdr:sp>
    <xdr:clientData/>
  </xdr:twoCellAnchor>
  <xdr:twoCellAnchor>
    <xdr:from>
      <xdr:col>12</xdr:col>
      <xdr:colOff>478465</xdr:colOff>
      <xdr:row>4</xdr:row>
      <xdr:rowOff>98835</xdr:rowOff>
    </xdr:from>
    <xdr:to>
      <xdr:col>14</xdr:col>
      <xdr:colOff>530728</xdr:colOff>
      <xdr:row>8</xdr:row>
      <xdr:rowOff>62022</xdr:rowOff>
    </xdr:to>
    <xdr:sp macro="" textlink="">
      <xdr:nvSpPr>
        <xdr:cNvPr id="58" name="TextBox 57">
          <a:extLst>
            <a:ext uri="{FF2B5EF4-FFF2-40B4-BE49-F238E27FC236}">
              <a16:creationId xmlns:a16="http://schemas.microsoft.com/office/drawing/2014/main" id="{BE204D7B-449F-724E-A457-6D0162214880}"/>
            </a:ext>
          </a:extLst>
        </xdr:cNvPr>
        <xdr:cNvSpPr txBox="1"/>
      </xdr:nvSpPr>
      <xdr:spPr>
        <a:xfrm>
          <a:off x="7814930" y="843114"/>
          <a:ext cx="1275007" cy="7074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solidFill>
                <a:schemeClr val="bg1"/>
              </a:solidFill>
            </a:rPr>
            <a:t>UTILIZATION RATE</a:t>
          </a:r>
        </a:p>
        <a:p>
          <a:pPr algn="ctr"/>
          <a:r>
            <a:rPr lang="en-IN" sz="1200" b="1">
              <a:solidFill>
                <a:schemeClr val="bg1"/>
              </a:solidFill>
            </a:rPr>
            <a:t>54.32%</a:t>
          </a:r>
        </a:p>
      </xdr:txBody>
    </xdr:sp>
    <xdr:clientData/>
  </xdr:twoCellAnchor>
  <xdr:twoCellAnchor editAs="oneCell">
    <xdr:from>
      <xdr:col>12</xdr:col>
      <xdr:colOff>132368</xdr:colOff>
      <xdr:row>4</xdr:row>
      <xdr:rowOff>178254</xdr:rowOff>
    </xdr:from>
    <xdr:to>
      <xdr:col>13</xdr:col>
      <xdr:colOff>79745</xdr:colOff>
      <xdr:row>7</xdr:row>
      <xdr:rowOff>173381</xdr:rowOff>
    </xdr:to>
    <xdr:pic>
      <xdr:nvPicPr>
        <xdr:cNvPr id="50" name="Graphic 49" descr="Gauge with solid fill">
          <a:extLst>
            <a:ext uri="{FF2B5EF4-FFF2-40B4-BE49-F238E27FC236}">
              <a16:creationId xmlns:a16="http://schemas.microsoft.com/office/drawing/2014/main" id="{A55488AE-EFD1-B142-BADF-A76540BD9D8C}"/>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7468833" y="922533"/>
          <a:ext cx="558749" cy="553336"/>
        </a:xfrm>
        <a:prstGeom prst="rect">
          <a:avLst/>
        </a:prstGeom>
      </xdr:spPr>
    </xdr:pic>
    <xdr:clientData/>
  </xdr:twoCellAnchor>
  <xdr:twoCellAnchor>
    <xdr:from>
      <xdr:col>3</xdr:col>
      <xdr:colOff>0</xdr:colOff>
      <xdr:row>8</xdr:row>
      <xdr:rowOff>171621</xdr:rowOff>
    </xdr:from>
    <xdr:to>
      <xdr:col>5</xdr:col>
      <xdr:colOff>498417</xdr:colOff>
      <xdr:row>16</xdr:row>
      <xdr:rowOff>82378</xdr:rowOff>
    </xdr:to>
    <xdr:sp macro="" textlink="">
      <xdr:nvSpPr>
        <xdr:cNvPr id="26" name="Rectangle: Rounded Corners 25">
          <a:extLst>
            <a:ext uri="{FF2B5EF4-FFF2-40B4-BE49-F238E27FC236}">
              <a16:creationId xmlns:a16="http://schemas.microsoft.com/office/drawing/2014/main" id="{1A5585EA-558D-4118-BE62-32F92747D025}"/>
            </a:ext>
          </a:extLst>
        </xdr:cNvPr>
        <xdr:cNvSpPr/>
      </xdr:nvSpPr>
      <xdr:spPr>
        <a:xfrm>
          <a:off x="1822622" y="1654432"/>
          <a:ext cx="1713498" cy="1393568"/>
        </a:xfrm>
        <a:prstGeom prst="roundRect">
          <a:avLst/>
        </a:prstGeom>
        <a:solidFill>
          <a:schemeClr val="accent3">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542324</xdr:colOff>
      <xdr:row>9</xdr:row>
      <xdr:rowOff>0</xdr:rowOff>
    </xdr:from>
    <xdr:to>
      <xdr:col>8</xdr:col>
      <xdr:colOff>429768</xdr:colOff>
      <xdr:row>16</xdr:row>
      <xdr:rowOff>26128</xdr:rowOff>
    </xdr:to>
    <xdr:sp macro="" textlink="">
      <xdr:nvSpPr>
        <xdr:cNvPr id="27" name="Rectangle: Rounded Corners 26">
          <a:extLst>
            <a:ext uri="{FF2B5EF4-FFF2-40B4-BE49-F238E27FC236}">
              <a16:creationId xmlns:a16="http://schemas.microsoft.com/office/drawing/2014/main" id="{9BBF05DF-9353-4E5F-98D6-404272522546}"/>
            </a:ext>
          </a:extLst>
        </xdr:cNvPr>
        <xdr:cNvSpPr/>
      </xdr:nvSpPr>
      <xdr:spPr>
        <a:xfrm>
          <a:off x="3597189" y="1668162"/>
          <a:ext cx="1720363" cy="1323588"/>
        </a:xfrm>
        <a:prstGeom prst="roundRect">
          <a:avLst/>
        </a:prstGeom>
        <a:solidFill>
          <a:schemeClr val="accent3">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508000</xdr:colOff>
      <xdr:row>8</xdr:row>
      <xdr:rowOff>164757</xdr:rowOff>
    </xdr:from>
    <xdr:to>
      <xdr:col>11</xdr:col>
      <xdr:colOff>395444</xdr:colOff>
      <xdr:row>16</xdr:row>
      <xdr:rowOff>5534</xdr:rowOff>
    </xdr:to>
    <xdr:sp macro="" textlink="">
      <xdr:nvSpPr>
        <xdr:cNvPr id="28" name="Rectangle: Rounded Corners 27">
          <a:extLst>
            <a:ext uri="{FF2B5EF4-FFF2-40B4-BE49-F238E27FC236}">
              <a16:creationId xmlns:a16="http://schemas.microsoft.com/office/drawing/2014/main" id="{53909E76-451B-4BC3-A17A-D5BADA92CE76}"/>
            </a:ext>
          </a:extLst>
        </xdr:cNvPr>
        <xdr:cNvSpPr/>
      </xdr:nvSpPr>
      <xdr:spPr>
        <a:xfrm>
          <a:off x="5395784" y="1647568"/>
          <a:ext cx="1720363" cy="1323588"/>
        </a:xfrm>
        <a:prstGeom prst="roundRect">
          <a:avLst/>
        </a:prstGeom>
        <a:solidFill>
          <a:schemeClr val="accent3">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453081</xdr:colOff>
      <xdr:row>8</xdr:row>
      <xdr:rowOff>164757</xdr:rowOff>
    </xdr:from>
    <xdr:to>
      <xdr:col>14</xdr:col>
      <xdr:colOff>340525</xdr:colOff>
      <xdr:row>16</xdr:row>
      <xdr:rowOff>5534</xdr:rowOff>
    </xdr:to>
    <xdr:sp macro="" textlink="">
      <xdr:nvSpPr>
        <xdr:cNvPr id="35" name="Rectangle: Rounded Corners 34">
          <a:extLst>
            <a:ext uri="{FF2B5EF4-FFF2-40B4-BE49-F238E27FC236}">
              <a16:creationId xmlns:a16="http://schemas.microsoft.com/office/drawing/2014/main" id="{3D2CD842-2728-462C-87BD-71CEB231FAF5}"/>
            </a:ext>
          </a:extLst>
        </xdr:cNvPr>
        <xdr:cNvSpPr/>
      </xdr:nvSpPr>
      <xdr:spPr>
        <a:xfrm>
          <a:off x="7173784" y="1647568"/>
          <a:ext cx="1720363" cy="1323588"/>
        </a:xfrm>
        <a:prstGeom prst="roundRect">
          <a:avLst/>
        </a:prstGeom>
        <a:solidFill>
          <a:schemeClr val="accent3">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xdr:col>
      <xdr:colOff>42380</xdr:colOff>
      <xdr:row>8</xdr:row>
      <xdr:rowOff>160699</xdr:rowOff>
    </xdr:from>
    <xdr:to>
      <xdr:col>3</xdr:col>
      <xdr:colOff>466352</xdr:colOff>
      <xdr:row>11</xdr:row>
      <xdr:rowOff>20594</xdr:rowOff>
    </xdr:to>
    <xdr:pic>
      <xdr:nvPicPr>
        <xdr:cNvPr id="72" name="Graphic 71" descr="Car with solid fill">
          <a:extLst>
            <a:ext uri="{FF2B5EF4-FFF2-40B4-BE49-F238E27FC236}">
              <a16:creationId xmlns:a16="http://schemas.microsoft.com/office/drawing/2014/main" id="{18DFA4C2-827E-1187-5FA8-769312A4FF75}"/>
            </a:ext>
          </a:extLst>
        </xdr:cNvPr>
        <xdr:cNvPicPr>
          <a:picLocks noChangeAspect="1"/>
        </xdr:cNvPicPr>
      </xdr:nvPicPr>
      <xdr:blipFill>
        <a:blip xmlns:r="http://schemas.openxmlformats.org/officeDocument/2006/relationships" r:embed="rId24">
          <a:extLst>
            <a:ext uri="{96DAC541-7B7A-43D3-8B79-37D633B846F1}">
              <asvg:svgBlip xmlns:asvg="http://schemas.microsoft.com/office/drawing/2016/SVG/main" r:embed="rId25"/>
            </a:ext>
          </a:extLst>
        </a:blip>
        <a:stretch>
          <a:fillRect/>
        </a:stretch>
      </xdr:blipFill>
      <xdr:spPr>
        <a:xfrm>
          <a:off x="1875299" y="1643510"/>
          <a:ext cx="423972" cy="415949"/>
        </a:xfrm>
        <a:prstGeom prst="rect">
          <a:avLst/>
        </a:prstGeom>
      </xdr:spPr>
    </xdr:pic>
    <xdr:clientData/>
  </xdr:twoCellAnchor>
  <xdr:twoCellAnchor>
    <xdr:from>
      <xdr:col>3</xdr:col>
      <xdr:colOff>363838</xdr:colOff>
      <xdr:row>8</xdr:row>
      <xdr:rowOff>167244</xdr:rowOff>
    </xdr:from>
    <xdr:to>
      <xdr:col>5</xdr:col>
      <xdr:colOff>533765</xdr:colOff>
      <xdr:row>12</xdr:row>
      <xdr:rowOff>31738</xdr:rowOff>
    </xdr:to>
    <xdr:sp macro="" textlink="">
      <xdr:nvSpPr>
        <xdr:cNvPr id="62" name="TextBox 61">
          <a:extLst>
            <a:ext uri="{FF2B5EF4-FFF2-40B4-BE49-F238E27FC236}">
              <a16:creationId xmlns:a16="http://schemas.microsoft.com/office/drawing/2014/main" id="{CA4208E8-C6E9-DB1D-A776-A1F2C14BF38E}"/>
            </a:ext>
          </a:extLst>
        </xdr:cNvPr>
        <xdr:cNvSpPr txBox="1"/>
      </xdr:nvSpPr>
      <xdr:spPr>
        <a:xfrm>
          <a:off x="2196757" y="1650055"/>
          <a:ext cx="1391873" cy="6058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solidFill>
            </a:rPr>
            <a:t>VEHICLE TYPE</a:t>
          </a:r>
        </a:p>
      </xdr:txBody>
    </xdr:sp>
    <xdr:clientData/>
  </xdr:twoCellAnchor>
  <xdr:twoCellAnchor editAs="oneCell">
    <xdr:from>
      <xdr:col>3</xdr:col>
      <xdr:colOff>123568</xdr:colOff>
      <xdr:row>10</xdr:row>
      <xdr:rowOff>102973</xdr:rowOff>
    </xdr:from>
    <xdr:to>
      <xdr:col>5</xdr:col>
      <xdr:colOff>405027</xdr:colOff>
      <xdr:row>15</xdr:row>
      <xdr:rowOff>164757</xdr:rowOff>
    </xdr:to>
    <mc:AlternateContent xmlns:mc="http://schemas.openxmlformats.org/markup-compatibility/2006">
      <mc:Choice xmlns:a14="http://schemas.microsoft.com/office/drawing/2010/main" Requires="a14">
        <xdr:graphicFrame macro="">
          <xdr:nvGraphicFramePr>
            <xdr:cNvPr id="39" name="Vehicle Type">
              <a:extLst>
                <a:ext uri="{FF2B5EF4-FFF2-40B4-BE49-F238E27FC236}">
                  <a16:creationId xmlns:a16="http://schemas.microsoft.com/office/drawing/2014/main" id="{7755EDDC-E68C-4B39-B9F0-F21424E31B3C}"/>
                </a:ext>
              </a:extLst>
            </xdr:cNvPr>
            <xdr:cNvGraphicFramePr/>
          </xdr:nvGraphicFramePr>
          <xdr:xfrm>
            <a:off x="0" y="0"/>
            <a:ext cx="0" cy="0"/>
          </xdr:xfrm>
          <a:graphic>
            <a:graphicData uri="http://schemas.microsoft.com/office/drawing/2010/slicer">
              <sle:slicer xmlns:sle="http://schemas.microsoft.com/office/drawing/2010/slicer" name="Vehicle Type"/>
            </a:graphicData>
          </a:graphic>
        </xdr:graphicFrame>
      </mc:Choice>
      <mc:Fallback>
        <xdr:sp macro="" textlink="">
          <xdr:nvSpPr>
            <xdr:cNvPr id="0" name=""/>
            <xdr:cNvSpPr>
              <a:spLocks noTextEdit="1"/>
            </xdr:cNvSpPr>
          </xdr:nvSpPr>
          <xdr:spPr>
            <a:xfrm>
              <a:off x="1946190" y="1956487"/>
              <a:ext cx="1496540" cy="9885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2702</xdr:colOff>
      <xdr:row>9</xdr:row>
      <xdr:rowOff>12370</xdr:rowOff>
    </xdr:from>
    <xdr:to>
      <xdr:col>6</xdr:col>
      <xdr:colOff>332154</xdr:colOff>
      <xdr:row>10</xdr:row>
      <xdr:rowOff>150712</xdr:rowOff>
    </xdr:to>
    <xdr:pic>
      <xdr:nvPicPr>
        <xdr:cNvPr id="75" name="Graphic 74" descr="Marker with solid fill">
          <a:extLst>
            <a:ext uri="{FF2B5EF4-FFF2-40B4-BE49-F238E27FC236}">
              <a16:creationId xmlns:a16="http://schemas.microsoft.com/office/drawing/2014/main" id="{9FAEA13C-753C-7E85-B8DB-B5EBAB59FA45}"/>
            </a:ext>
          </a:extLst>
        </xdr:cNvPr>
        <xdr:cNvPicPr>
          <a:picLocks noChangeAspect="1"/>
        </xdr:cNvPicPr>
      </xdr:nvPicPr>
      <xdr:blipFill>
        <a:blip xmlns:r="http://schemas.openxmlformats.org/officeDocument/2006/relationships" r:embed="rId26">
          <a:extLst>
            <a:ext uri="{96DAC541-7B7A-43D3-8B79-37D633B846F1}">
              <asvg:svgBlip xmlns:asvg="http://schemas.microsoft.com/office/drawing/2016/SVG/main" r:embed="rId27"/>
            </a:ext>
          </a:extLst>
        </a:blip>
        <a:stretch>
          <a:fillRect/>
        </a:stretch>
      </xdr:blipFill>
      <xdr:spPr>
        <a:xfrm>
          <a:off x="3636856" y="1682908"/>
          <a:ext cx="329452" cy="323958"/>
        </a:xfrm>
        <a:prstGeom prst="rect">
          <a:avLst/>
        </a:prstGeom>
      </xdr:spPr>
    </xdr:pic>
    <xdr:clientData/>
  </xdr:twoCellAnchor>
  <xdr:twoCellAnchor>
    <xdr:from>
      <xdr:col>6</xdr:col>
      <xdr:colOff>300889</xdr:colOff>
      <xdr:row>9</xdr:row>
      <xdr:rowOff>36184</xdr:rowOff>
    </xdr:from>
    <xdr:to>
      <xdr:col>8</xdr:col>
      <xdr:colOff>441158</xdr:colOff>
      <xdr:row>11</xdr:row>
      <xdr:rowOff>0</xdr:rowOff>
    </xdr:to>
    <xdr:sp macro="" textlink="">
      <xdr:nvSpPr>
        <xdr:cNvPr id="61" name="TextBox 60">
          <a:extLst>
            <a:ext uri="{FF2B5EF4-FFF2-40B4-BE49-F238E27FC236}">
              <a16:creationId xmlns:a16="http://schemas.microsoft.com/office/drawing/2014/main" id="{6E95BD2D-4F38-5D07-F655-A7B6544B9C86}"/>
            </a:ext>
          </a:extLst>
        </xdr:cNvPr>
        <xdr:cNvSpPr txBox="1"/>
      </xdr:nvSpPr>
      <xdr:spPr>
        <a:xfrm>
          <a:off x="3970521" y="1660447"/>
          <a:ext cx="1363479" cy="3247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solidFill>
            </a:rPr>
            <a:t>STATION TYPE</a:t>
          </a:r>
        </a:p>
      </xdr:txBody>
    </xdr:sp>
    <xdr:clientData/>
  </xdr:twoCellAnchor>
  <xdr:twoCellAnchor editAs="oneCell">
    <xdr:from>
      <xdr:col>6</xdr:col>
      <xdr:colOff>48845</xdr:colOff>
      <xdr:row>10</xdr:row>
      <xdr:rowOff>156310</xdr:rowOff>
    </xdr:from>
    <xdr:to>
      <xdr:col>8</xdr:col>
      <xdr:colOff>312615</xdr:colOff>
      <xdr:row>15</xdr:row>
      <xdr:rowOff>155864</xdr:rowOff>
    </xdr:to>
    <mc:AlternateContent xmlns:mc="http://schemas.openxmlformats.org/markup-compatibility/2006">
      <mc:Choice xmlns:a14="http://schemas.microsoft.com/office/drawing/2010/main" Requires="a14">
        <xdr:graphicFrame macro="">
          <xdr:nvGraphicFramePr>
            <xdr:cNvPr id="40" name="Station Type">
              <a:extLst>
                <a:ext uri="{FF2B5EF4-FFF2-40B4-BE49-F238E27FC236}">
                  <a16:creationId xmlns:a16="http://schemas.microsoft.com/office/drawing/2014/main" id="{548C5D2E-FAD6-46BC-9B94-A2796C665ECC}"/>
                </a:ext>
              </a:extLst>
            </xdr:cNvPr>
            <xdr:cNvGraphicFramePr/>
          </xdr:nvGraphicFramePr>
          <xdr:xfrm>
            <a:off x="0" y="0"/>
            <a:ext cx="0" cy="0"/>
          </xdr:xfrm>
          <a:graphic>
            <a:graphicData uri="http://schemas.microsoft.com/office/drawing/2010/slicer">
              <sle:slicer xmlns:sle="http://schemas.microsoft.com/office/drawing/2010/slicer" name="Station Type"/>
            </a:graphicData>
          </a:graphic>
        </xdr:graphicFrame>
      </mc:Choice>
      <mc:Fallback>
        <xdr:sp macro="" textlink="">
          <xdr:nvSpPr>
            <xdr:cNvPr id="0" name=""/>
            <xdr:cNvSpPr>
              <a:spLocks noTextEdit="1"/>
            </xdr:cNvSpPr>
          </xdr:nvSpPr>
          <xdr:spPr>
            <a:xfrm>
              <a:off x="3694088" y="2009824"/>
              <a:ext cx="1478851" cy="9263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143981</xdr:colOff>
      <xdr:row>8</xdr:row>
      <xdr:rowOff>155441</xdr:rowOff>
    </xdr:from>
    <xdr:to>
      <xdr:col>11</xdr:col>
      <xdr:colOff>300567</xdr:colOff>
      <xdr:row>10</xdr:row>
      <xdr:rowOff>48711</xdr:rowOff>
    </xdr:to>
    <xdr:sp macro="" textlink="">
      <xdr:nvSpPr>
        <xdr:cNvPr id="63" name="TextBox 62">
          <a:extLst>
            <a:ext uri="{FF2B5EF4-FFF2-40B4-BE49-F238E27FC236}">
              <a16:creationId xmlns:a16="http://schemas.microsoft.com/office/drawing/2014/main" id="{F07A3BAB-928E-16A5-4928-6D3C4FBF5F18}"/>
            </a:ext>
          </a:extLst>
        </xdr:cNvPr>
        <xdr:cNvSpPr txBox="1"/>
      </xdr:nvSpPr>
      <xdr:spPr>
        <a:xfrm>
          <a:off x="5620145" y="1611202"/>
          <a:ext cx="1373512" cy="2572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bg1"/>
              </a:solidFill>
            </a:rPr>
            <a:t>CHARGER TYPE</a:t>
          </a:r>
        </a:p>
      </xdr:txBody>
    </xdr:sp>
    <xdr:clientData/>
  </xdr:twoCellAnchor>
  <xdr:twoCellAnchor editAs="oneCell">
    <xdr:from>
      <xdr:col>9</xdr:col>
      <xdr:colOff>93639</xdr:colOff>
      <xdr:row>10</xdr:row>
      <xdr:rowOff>82106</xdr:rowOff>
    </xdr:from>
    <xdr:to>
      <xdr:col>11</xdr:col>
      <xdr:colOff>312586</xdr:colOff>
      <xdr:row>15</xdr:row>
      <xdr:rowOff>118123</xdr:rowOff>
    </xdr:to>
    <mc:AlternateContent xmlns:mc="http://schemas.openxmlformats.org/markup-compatibility/2006">
      <mc:Choice xmlns:a14="http://schemas.microsoft.com/office/drawing/2010/main" Requires="a14">
        <xdr:graphicFrame macro="">
          <xdr:nvGraphicFramePr>
            <xdr:cNvPr id="25" name="Charger Type">
              <a:extLst>
                <a:ext uri="{FF2B5EF4-FFF2-40B4-BE49-F238E27FC236}">
                  <a16:creationId xmlns:a16="http://schemas.microsoft.com/office/drawing/2014/main" id="{B4E17C2F-146B-43BB-8563-D99378B68D68}"/>
                </a:ext>
              </a:extLst>
            </xdr:cNvPr>
            <xdr:cNvGraphicFramePr/>
          </xdr:nvGraphicFramePr>
          <xdr:xfrm>
            <a:off x="0" y="0"/>
            <a:ext cx="0" cy="0"/>
          </xdr:xfrm>
          <a:graphic>
            <a:graphicData uri="http://schemas.microsoft.com/office/drawing/2010/slicer">
              <sle:slicer xmlns:sle="http://schemas.microsoft.com/office/drawing/2010/slicer" name="Charger Type"/>
            </a:graphicData>
          </a:graphic>
        </xdr:graphicFrame>
      </mc:Choice>
      <mc:Fallback>
        <xdr:sp macro="" textlink="">
          <xdr:nvSpPr>
            <xdr:cNvPr id="0" name=""/>
            <xdr:cNvSpPr>
              <a:spLocks noTextEdit="1"/>
            </xdr:cNvSpPr>
          </xdr:nvSpPr>
          <xdr:spPr>
            <a:xfrm>
              <a:off x="5561504" y="1935620"/>
              <a:ext cx="1434028" cy="9627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515032</xdr:colOff>
      <xdr:row>9</xdr:row>
      <xdr:rowOff>18003</xdr:rowOff>
    </xdr:from>
    <xdr:to>
      <xdr:col>9</xdr:col>
      <xdr:colOff>148778</xdr:colOff>
      <xdr:row>11</xdr:row>
      <xdr:rowOff>13586</xdr:rowOff>
    </xdr:to>
    <xdr:pic>
      <xdr:nvPicPr>
        <xdr:cNvPr id="70" name="Picture 69">
          <a:extLst>
            <a:ext uri="{FF2B5EF4-FFF2-40B4-BE49-F238E27FC236}">
              <a16:creationId xmlns:a16="http://schemas.microsoft.com/office/drawing/2014/main" id="{F6B4FFF6-B511-49A0-AB93-4517F63D86CD}"/>
            </a:ext>
          </a:extLst>
        </xdr:cNvPr>
        <xdr:cNvPicPr>
          <a:picLocks noChangeAspect="1"/>
        </xdr:cNvPicPr>
      </xdr:nvPicPr>
      <xdr:blipFill>
        <a:blip xmlns:r="http://schemas.openxmlformats.org/officeDocument/2006/relationships" r:embed="rId28" cstate="print">
          <a:extLst>
            <a:ext uri="{BEBA8EAE-BF5A-486C-A8C5-ECC9F3942E4B}">
              <a14:imgProps xmlns:a14="http://schemas.microsoft.com/office/drawing/2010/main">
                <a14:imgLayer r:embed="rId29">
                  <a14:imgEffect>
                    <a14:backgroundRemoval t="10000" b="90000" l="10000" r="90000">
                      <a14:foregroundMark x1="33491" y1="84783" x2="35849" y2="81366"/>
                    </a14:backgroundRemoval>
                  </a14:imgEffect>
                </a14:imgLayer>
              </a14:imgProps>
            </a:ext>
            <a:ext uri="{28A0092B-C50C-407E-A947-70E740481C1C}">
              <a14:useLocalDpi xmlns:a14="http://schemas.microsoft.com/office/drawing/2010/main" val="0"/>
            </a:ext>
            <a:ext uri="{837473B0-CC2E-450A-ABE3-18F120FF3D39}">
              <a1611:picAttrSrcUrl xmlns:a1611="http://schemas.microsoft.com/office/drawing/2016/11/main" r:id="rId14"/>
            </a:ext>
          </a:extLst>
        </a:blip>
        <a:stretch>
          <a:fillRect/>
        </a:stretch>
      </xdr:blipFill>
      <xdr:spPr>
        <a:xfrm>
          <a:off x="5382733" y="1655734"/>
          <a:ext cx="242209" cy="359524"/>
        </a:xfrm>
        <a:prstGeom prst="rect">
          <a:avLst/>
        </a:prstGeom>
      </xdr:spPr>
    </xdr:pic>
    <xdr:clientData/>
  </xdr:twoCellAnchor>
  <xdr:twoCellAnchor>
    <xdr:from>
      <xdr:col>15</xdr:col>
      <xdr:colOff>11080</xdr:colOff>
      <xdr:row>4</xdr:row>
      <xdr:rowOff>71949</xdr:rowOff>
    </xdr:from>
    <xdr:to>
      <xdr:col>18</xdr:col>
      <xdr:colOff>10296</xdr:colOff>
      <xdr:row>31</xdr:row>
      <xdr:rowOff>51487</xdr:rowOff>
    </xdr:to>
    <xdr:sp macro="" textlink="">
      <xdr:nvSpPr>
        <xdr:cNvPr id="43" name="Rectangle: Rounded Corners 42">
          <a:extLst>
            <a:ext uri="{FF2B5EF4-FFF2-40B4-BE49-F238E27FC236}">
              <a16:creationId xmlns:a16="http://schemas.microsoft.com/office/drawing/2014/main" id="{4780CD18-3F27-4F4F-8D17-DB564E3AE307}"/>
            </a:ext>
          </a:extLst>
        </xdr:cNvPr>
        <xdr:cNvSpPr/>
      </xdr:nvSpPr>
      <xdr:spPr>
        <a:xfrm>
          <a:off x="9124188" y="813354"/>
          <a:ext cx="1821838" cy="4994322"/>
        </a:xfrm>
        <a:prstGeom prst="roundRect">
          <a:avLst>
            <a:gd name="adj" fmla="val 9445"/>
          </a:avLst>
        </a:prstGeom>
        <a:solidFill>
          <a:srgbClr val="88A62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t>KEY INSIGHTS</a:t>
          </a:r>
        </a:p>
        <a:p>
          <a:pPr algn="l"/>
          <a:endParaRPr lang="en-IN" sz="1200" b="1"/>
        </a:p>
        <a:p>
          <a:pPr algn="l"/>
          <a:r>
            <a:rPr lang="en-IN" sz="1200" b="1"/>
            <a:t> 1. Top-Performing Stations</a:t>
          </a:r>
        </a:p>
        <a:p>
          <a:pPr algn="l"/>
          <a:r>
            <a:rPr lang="en-IN" sz="1200" b="0"/>
            <a:t>Identify the stations generating the highest revenue.</a:t>
          </a:r>
        </a:p>
        <a:p>
          <a:pPr algn="l"/>
          <a:endParaRPr lang="en-IN" sz="1200" b="0"/>
        </a:p>
        <a:p>
          <a:pPr algn="l"/>
          <a:r>
            <a:rPr lang="en-IN" sz="1200" b="1"/>
            <a:t>2. City </a:t>
          </a:r>
          <a:r>
            <a:rPr lang="en-IN" sz="1200" b="0"/>
            <a:t>PerformanceCompare revenue across cities to identify the leading city</a:t>
          </a:r>
          <a:r>
            <a:rPr lang="en-IN" sz="1200" b="1"/>
            <a:t>.</a:t>
          </a:r>
        </a:p>
        <a:p>
          <a:pPr algn="l"/>
          <a:endParaRPr lang="en-IN" sz="1200" b="1"/>
        </a:p>
        <a:p>
          <a:pPr algn="l"/>
          <a:r>
            <a:rPr lang="en-IN" sz="1200" b="1"/>
            <a:t>3. Customer Payment Preferences </a:t>
          </a:r>
        </a:p>
        <a:p>
          <a:pPr algn="l"/>
          <a:r>
            <a:rPr lang="en-IN" sz="1200" b="0"/>
            <a:t>Identify the most commonly used payment method</a:t>
          </a:r>
          <a:r>
            <a:rPr lang="en-IN" sz="1200" b="1"/>
            <a:t>.</a:t>
          </a:r>
        </a:p>
        <a:p>
          <a:pPr algn="l"/>
          <a:endParaRPr lang="en-IN" sz="1200" b="1"/>
        </a:p>
        <a:p>
          <a:pPr algn="l"/>
          <a:r>
            <a:rPr lang="en-IN" sz="1200" b="1"/>
            <a:t>4. Monthly Revenue Trend</a:t>
          </a:r>
        </a:p>
        <a:p>
          <a:pPr algn="l"/>
          <a:r>
            <a:rPr lang="en-IN" sz="1200" b="0"/>
            <a:t>Highlight months with the highest and lowest revenue.</a:t>
          </a:r>
        </a:p>
      </xdr:txBody>
    </xdr:sp>
    <xdr:clientData/>
  </xdr:twoCellAnchor>
  <xdr:twoCellAnchor>
    <xdr:from>
      <xdr:col>12</xdr:col>
      <xdr:colOff>360406</xdr:colOff>
      <xdr:row>8</xdr:row>
      <xdr:rowOff>154460</xdr:rowOff>
    </xdr:from>
    <xdr:to>
      <xdr:col>14</xdr:col>
      <xdr:colOff>308919</xdr:colOff>
      <xdr:row>11</xdr:row>
      <xdr:rowOff>175054</xdr:rowOff>
    </xdr:to>
    <xdr:sp macro="" textlink="">
      <xdr:nvSpPr>
        <xdr:cNvPr id="47" name="TextBox 46">
          <a:extLst>
            <a:ext uri="{FF2B5EF4-FFF2-40B4-BE49-F238E27FC236}">
              <a16:creationId xmlns:a16="http://schemas.microsoft.com/office/drawing/2014/main" id="{C76F95B7-0055-5D96-58A4-E3950598E77A}"/>
            </a:ext>
          </a:extLst>
        </xdr:cNvPr>
        <xdr:cNvSpPr txBox="1"/>
      </xdr:nvSpPr>
      <xdr:spPr>
        <a:xfrm>
          <a:off x="7650892" y="1637271"/>
          <a:ext cx="1163595" cy="5766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solidFill>
            </a:rPr>
            <a:t>PAYMENT</a:t>
          </a:r>
          <a:r>
            <a:rPr lang="en-IN" sz="1400" b="1" baseline="0">
              <a:solidFill>
                <a:schemeClr val="bg1"/>
              </a:solidFill>
            </a:rPr>
            <a:t> </a:t>
          </a:r>
        </a:p>
        <a:p>
          <a:r>
            <a:rPr lang="en-IN" sz="1400" b="1" baseline="0">
              <a:solidFill>
                <a:schemeClr val="bg1"/>
              </a:solidFill>
            </a:rPr>
            <a:t>MODE</a:t>
          </a:r>
          <a:endParaRPr lang="en-IN" sz="1400" b="1">
            <a:solidFill>
              <a:schemeClr val="bg1"/>
            </a:solidFill>
          </a:endParaRPr>
        </a:p>
      </xdr:txBody>
    </xdr:sp>
    <xdr:clientData/>
  </xdr:twoCellAnchor>
  <xdr:twoCellAnchor editAs="oneCell">
    <xdr:from>
      <xdr:col>11</xdr:col>
      <xdr:colOff>542326</xdr:colOff>
      <xdr:row>11</xdr:row>
      <xdr:rowOff>123569</xdr:rowOff>
    </xdr:from>
    <xdr:to>
      <xdr:col>14</xdr:col>
      <xdr:colOff>236838</xdr:colOff>
      <xdr:row>15</xdr:row>
      <xdr:rowOff>61783</xdr:rowOff>
    </xdr:to>
    <mc:AlternateContent xmlns:mc="http://schemas.openxmlformats.org/markup-compatibility/2006">
      <mc:Choice xmlns:a14="http://schemas.microsoft.com/office/drawing/2010/main" Requires="a14">
        <xdr:graphicFrame macro="">
          <xdr:nvGraphicFramePr>
            <xdr:cNvPr id="49" name="Payment Mode">
              <a:extLst>
                <a:ext uri="{FF2B5EF4-FFF2-40B4-BE49-F238E27FC236}">
                  <a16:creationId xmlns:a16="http://schemas.microsoft.com/office/drawing/2014/main" id="{872536EC-FF2B-42FA-83EF-F4147C1D2FF4}"/>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dr:sp macro="" textlink="">
          <xdr:nvSpPr>
            <xdr:cNvPr id="0" name=""/>
            <xdr:cNvSpPr>
              <a:spLocks noTextEdit="1"/>
            </xdr:cNvSpPr>
          </xdr:nvSpPr>
          <xdr:spPr>
            <a:xfrm>
              <a:off x="7225272" y="2162434"/>
              <a:ext cx="1517134" cy="6796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576648</xdr:colOff>
      <xdr:row>9</xdr:row>
      <xdr:rowOff>61784</xdr:rowOff>
    </xdr:from>
    <xdr:to>
      <xdr:col>12</xdr:col>
      <xdr:colOff>401595</xdr:colOff>
      <xdr:row>11</xdr:row>
      <xdr:rowOff>123568</xdr:rowOff>
    </xdr:to>
    <xdr:pic>
      <xdr:nvPicPr>
        <xdr:cNvPr id="53" name="Graphic 52" descr="Money with solid fill">
          <a:extLst>
            <a:ext uri="{FF2B5EF4-FFF2-40B4-BE49-F238E27FC236}">
              <a16:creationId xmlns:a16="http://schemas.microsoft.com/office/drawing/2014/main" id="{256274C2-F329-7ED1-ED23-9EA826875830}"/>
            </a:ext>
          </a:extLst>
        </xdr:cNvPr>
        <xdr:cNvPicPr>
          <a:picLocks noChangeAspect="1"/>
        </xdr:cNvPicPr>
      </xdr:nvPicPr>
      <xdr:blipFill>
        <a:blip xmlns:r="http://schemas.openxmlformats.org/officeDocument/2006/relationships" r:embed="rId30">
          <a:extLst>
            <a:ext uri="{96DAC541-7B7A-43D3-8B79-37D633B846F1}">
              <asvg:svgBlip xmlns:asvg="http://schemas.microsoft.com/office/drawing/2016/SVG/main" r:embed="rId31"/>
            </a:ext>
          </a:extLst>
        </a:blip>
        <a:stretch>
          <a:fillRect/>
        </a:stretch>
      </xdr:blipFill>
      <xdr:spPr>
        <a:xfrm>
          <a:off x="7259594" y="1729946"/>
          <a:ext cx="432487" cy="432487"/>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vya" refreshedDate="46270.670287037035" createdVersion="8" refreshedVersion="8" minRefreshableVersion="3" recordCount="120" xr:uid="{CAFFB273-390F-4DD7-AA24-8A09A1A4C9AA}">
  <cacheSource type="worksheet">
    <worksheetSource name="EVChargingData"/>
  </cacheSource>
  <cacheFields count="20">
    <cacheField name="Session ID" numFmtId="0">
      <sharedItems/>
    </cacheField>
    <cacheField name="Date" numFmtId="164">
      <sharedItems containsSemiMixedTypes="0" containsNonDate="0" containsDate="1" containsString="0" minDate="2026-01-01T00:00:00" maxDate="2026-05-31T00:00:00"/>
    </cacheField>
    <cacheField name="City" numFmtId="0">
      <sharedItems count="10">
        <s v="Hyderabad"/>
        <s v="Pune"/>
        <s v="Bengaluru"/>
        <s v="Delhi"/>
        <s v="Kochi"/>
        <s v="Mumbai"/>
        <s v="Ahmedabad"/>
        <s v="Noida"/>
        <s v="Gurugram"/>
        <s v="Chennai"/>
      </sharedItems>
    </cacheField>
    <cacheField name="State" numFmtId="0">
      <sharedItems/>
    </cacheField>
    <cacheField name="Station ID" numFmtId="0">
      <sharedItems count="99">
        <s v="EV-HYD-02"/>
        <s v="EV-PUN-15"/>
        <s v="EV-BEN-11"/>
        <s v="EV-DEL-03"/>
        <s v="EV-KOC-13"/>
        <s v="EV-MUM-24"/>
        <s v="EV-DEL-15"/>
        <s v="EV-PUN-32"/>
        <s v="EV-KOC-26"/>
        <s v="EV-KOC-05"/>
        <s v="EV-DEL-22"/>
        <s v="EV-AHM-13"/>
        <s v="EV-DEL-16"/>
        <s v="EV-NOI-11"/>
        <s v="EV-HYD-16"/>
        <s v="EV-HYD-04"/>
        <s v="EV-KOC-31"/>
        <s v="EV-PUN-05"/>
        <s v="EV-NOI-10"/>
        <s v="EV-MUM-04"/>
        <s v="EV-PUN-03"/>
        <s v="EV-BEN-30"/>
        <s v="EV-PUN-24"/>
        <s v="EV-DEL-07"/>
        <s v="EV-AHM-32"/>
        <s v="EV-MUM-29"/>
        <s v="EV-KOC-10"/>
        <s v="EV-AHM-27"/>
        <s v="EV-GUR-16"/>
        <s v="EV-CHE-20"/>
        <s v="EV-CHE-33"/>
        <s v="EV-GUR-23"/>
        <s v="EV-AHM-20"/>
        <s v="EV-MUM-20"/>
        <s v="EV-PUN-33"/>
        <s v="EV-PUN-10"/>
        <s v="EV-PUN-25"/>
        <s v="EV-PUN-08"/>
        <s v="EV-HYD-19"/>
        <s v="EV-GUR-27"/>
        <s v="EV-KOC-25"/>
        <s v="EV-KOC-15"/>
        <s v="EV-MUM-30"/>
        <s v="EV-CHE-14"/>
        <s v="EV-AHM-04"/>
        <s v="EV-MUM-31"/>
        <s v="EV-HYD-20"/>
        <s v="EV-HYD-28"/>
        <s v="EV-KOC-35"/>
        <s v="EV-NOI-25"/>
        <s v="EV-DEL-01"/>
        <s v="EV-NOI-29"/>
        <s v="EV-CHE-31"/>
        <s v="EV-CHE-08"/>
        <s v="EV-KOC-19"/>
        <s v="EV-BEN-19"/>
        <s v="EV-MUM-10"/>
        <s v="EV-PUN-34"/>
        <s v="EV-PUN-17"/>
        <s v="EV-PUN-28"/>
        <s v="EV-DEL-29"/>
        <s v="EV-KOC-17"/>
        <s v="EV-DEL-12"/>
        <s v="EV-GUR-32"/>
        <s v="EV-GUR-33"/>
        <s v="EV-DEL-09"/>
        <s v="EV-BEN-27"/>
        <s v="EV-GUR-31"/>
        <s v="EV-HYD-18"/>
        <s v="EV-AHM-35"/>
        <s v="EV-BEN-21"/>
        <s v="EV-CHE-07"/>
        <s v="EV-CHE-26"/>
        <s v="EV-PUN-06"/>
        <s v="EV-CHE-04"/>
        <s v="EV-MUM-05"/>
        <s v="EV-CHE-34"/>
        <s v="EV-GUR-24"/>
        <s v="EV-NOI-27"/>
        <s v="EV-AHM-23"/>
        <s v="EV-BEN-04"/>
        <s v="EV-KOC-01"/>
        <s v="EV-KOC-21"/>
        <s v="EV-AHM-07"/>
        <s v="EV-BEN-31"/>
        <s v="EV-GUR-29"/>
        <s v="EV-CHE-10"/>
        <s v="EV-BEN-22"/>
        <s v="EV-KOC-02"/>
        <s v="EV-HYD-10"/>
        <s v="EV-DEL-21"/>
        <s v="EV-KOC-29"/>
        <s v="EV-BEN-15"/>
        <s v="EV-BEN-32"/>
        <s v="EV-HYD-26"/>
        <s v="EV-BEN-23"/>
        <s v="EV-HYD-06"/>
        <s v="EV-NOI-34"/>
        <s v="EV-HYD-22"/>
      </sharedItems>
    </cacheField>
    <cacheField name="Station Type" numFmtId="0">
      <sharedItems count="5">
        <s v="Public"/>
        <s v="Mall"/>
        <s v="Residential"/>
        <s v="Office"/>
        <s v="Highway"/>
      </sharedItems>
    </cacheField>
    <cacheField name="Charger Type" numFmtId="0">
      <sharedItems count="3">
        <s v="AC"/>
        <s v="DC Ultra Fast"/>
        <s v="DC Fast"/>
      </sharedItems>
    </cacheField>
    <cacheField name="Connector" numFmtId="0">
      <sharedItems/>
    </cacheField>
    <cacheField name="Vehicle Type" numFmtId="0">
      <sharedItems count="3">
        <s v="Electric Car"/>
        <s v="Electric 2-Wheeler"/>
        <s v="Electric SUV"/>
      </sharedItems>
    </cacheField>
    <cacheField name="Power (kW)" numFmtId="0">
      <sharedItems containsSemiMixedTypes="0" containsString="0" containsNumber="1" containsInteger="1" minValue="7" maxValue="350"/>
    </cacheField>
    <cacheField name="Charging Duration (min)" numFmtId="0">
      <sharedItems containsSemiMixedTypes="0" containsString="0" containsNumber="1" containsInteger="1" minValue="11" maxValue="178"/>
    </cacheField>
    <cacheField name="Energy Delivered (kWh)" numFmtId="0">
      <sharedItems containsSemiMixedTypes="0" containsString="0" containsNumber="1" minValue="0" maxValue="72.5"/>
    </cacheField>
    <cacheField name="Payment Mode" numFmtId="0">
      <sharedItems count="4">
        <s v="Card"/>
        <s v="UPI"/>
        <s v="Wallet"/>
        <s v="App"/>
      </sharedItems>
    </cacheField>
    <cacheField name="Session Status" numFmtId="0">
      <sharedItems count="3">
        <s v="Completed"/>
        <s v="Failed"/>
        <s v="Cancelled"/>
      </sharedItems>
    </cacheField>
    <cacheField name="Revenue (₹)" numFmtId="0">
      <sharedItems containsSemiMixedTypes="0" containsString="0" containsNumber="1" minValue="0" maxValue="1509.2"/>
    </cacheField>
    <cacheField name="Station Utilization %" numFmtId="0">
      <sharedItems containsSemiMixedTypes="0" containsString="0" containsNumber="1" minValue="10.1" maxValue="97.7"/>
    </cacheField>
    <cacheField name="Month" numFmtId="0">
      <sharedItems count="5">
        <s v="Mar"/>
        <s v="May"/>
        <s v="Apr"/>
        <s v="Jan"/>
        <s v="Feb"/>
      </sharedItems>
    </cacheField>
    <cacheField name="Target Revenue (₹)" numFmtId="0">
      <sharedItems containsSemiMixedTypes="0" containsString="0" containsNumber="1" minValue="0" maxValue="1792.19"/>
    </cacheField>
    <cacheField name="Target Status" numFmtId="0">
      <sharedItems/>
    </cacheField>
    <cacheField name="Column1" numFmtId="0">
      <sharedItems containsNonDate="0" containsString="0" containsBlank="1"/>
    </cacheField>
  </cacheFields>
  <extLst>
    <ext xmlns:x14="http://schemas.microsoft.com/office/spreadsheetml/2009/9/main" uri="{725AE2AE-9491-48be-B2B4-4EB974FC3084}">
      <x14:pivotCacheDefinition pivotCacheId="829071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
  <r>
    <s v="EVTX0001"/>
    <d v="2026-03-12T00:00:00"/>
    <x v="0"/>
    <s v="Telangana"/>
    <x v="0"/>
    <x v="0"/>
    <x v="0"/>
    <s v="Type 2"/>
    <x v="0"/>
    <n v="22"/>
    <n v="174"/>
    <n v="13.8"/>
    <x v="0"/>
    <x v="0"/>
    <n v="276"/>
    <n v="37"/>
    <x v="0"/>
    <n v="327.75"/>
    <s v="Below Target"/>
    <m/>
  </r>
  <r>
    <s v="EVTX0002"/>
    <d v="2026-05-10T00:00:00"/>
    <x v="1"/>
    <s v="Maharashtra"/>
    <x v="1"/>
    <x v="1"/>
    <x v="1"/>
    <s v="CCS2"/>
    <x v="1"/>
    <n v="350"/>
    <n v="17"/>
    <n v="0"/>
    <x v="0"/>
    <x v="1"/>
    <n v="0"/>
    <n v="30.2"/>
    <x v="1"/>
    <n v="0"/>
    <s v="Target Achieved"/>
    <m/>
  </r>
  <r>
    <s v="EVTX0003"/>
    <d v="2026-04-19T00:00:00"/>
    <x v="2"/>
    <s v="Karnataka"/>
    <x v="2"/>
    <x v="2"/>
    <x v="2"/>
    <s v="CHAdeMO"/>
    <x v="0"/>
    <n v="30"/>
    <n v="25"/>
    <n v="33.5"/>
    <x v="0"/>
    <x v="0"/>
    <n v="603"/>
    <n v="88.4"/>
    <x v="2"/>
    <n v="716.07"/>
    <s v="Below Target"/>
    <m/>
  </r>
  <r>
    <s v="EVTX0004"/>
    <d v="2026-04-28T00:00:00"/>
    <x v="3"/>
    <s v="Delhi"/>
    <x v="3"/>
    <x v="1"/>
    <x v="1"/>
    <s v="CCS2"/>
    <x v="2"/>
    <n v="240"/>
    <n v="36"/>
    <n v="0"/>
    <x v="1"/>
    <x v="1"/>
    <n v="0"/>
    <n v="38.299999999999997"/>
    <x v="2"/>
    <n v="0"/>
    <s v="Target Achieved"/>
    <m/>
  </r>
  <r>
    <s v="EVTX0005"/>
    <d v="2026-01-18T00:00:00"/>
    <x v="4"/>
    <s v="Kerala"/>
    <x v="4"/>
    <x v="1"/>
    <x v="0"/>
    <s v="Type 2"/>
    <x v="1"/>
    <n v="7"/>
    <n v="94"/>
    <n v="66.099999999999994"/>
    <x v="0"/>
    <x v="0"/>
    <n v="1322"/>
    <n v="52.5"/>
    <x v="3"/>
    <n v="1569.89"/>
    <s v="Below Target"/>
    <m/>
  </r>
  <r>
    <s v="EVTX0006"/>
    <d v="2026-04-01T00:00:00"/>
    <x v="5"/>
    <s v="Maharashtra"/>
    <x v="5"/>
    <x v="3"/>
    <x v="0"/>
    <s v="Type 2"/>
    <x v="1"/>
    <n v="22"/>
    <n v="78"/>
    <n v="43.8"/>
    <x v="2"/>
    <x v="0"/>
    <n v="700.8"/>
    <n v="45.3"/>
    <x v="2"/>
    <n v="832.21"/>
    <s v="Below Target"/>
    <m/>
  </r>
  <r>
    <s v="EVTX0007"/>
    <d v="2026-03-25T00:00:00"/>
    <x v="3"/>
    <s v="Delhi"/>
    <x v="6"/>
    <x v="1"/>
    <x v="0"/>
    <s v="Type 2"/>
    <x v="0"/>
    <n v="11"/>
    <n v="103"/>
    <n v="12.4"/>
    <x v="1"/>
    <x v="0"/>
    <n v="272.8"/>
    <n v="90.2"/>
    <x v="0"/>
    <n v="323.95"/>
    <s v="Below Target"/>
    <m/>
  </r>
  <r>
    <s v="EVTX0008"/>
    <d v="2026-04-12T00:00:00"/>
    <x v="1"/>
    <s v="Maharashtra"/>
    <x v="7"/>
    <x v="3"/>
    <x v="1"/>
    <s v="CHAdeMO"/>
    <x v="0"/>
    <n v="180"/>
    <n v="33"/>
    <n v="45.6"/>
    <x v="2"/>
    <x v="0"/>
    <n v="820.8"/>
    <n v="82.1"/>
    <x v="2"/>
    <n v="974.71"/>
    <s v="Below Target"/>
    <m/>
  </r>
  <r>
    <s v="EVTX0009"/>
    <d v="2026-04-03T00:00:00"/>
    <x v="4"/>
    <s v="Kerala"/>
    <x v="8"/>
    <x v="3"/>
    <x v="0"/>
    <s v="Type 2"/>
    <x v="0"/>
    <n v="7"/>
    <n v="63"/>
    <n v="18.2"/>
    <x v="3"/>
    <x v="0"/>
    <n v="291.2"/>
    <n v="84.9"/>
    <x v="2"/>
    <n v="345.8"/>
    <s v="Below Target"/>
    <m/>
  </r>
  <r>
    <s v="EVTX0010"/>
    <d v="2026-04-09T00:00:00"/>
    <x v="4"/>
    <s v="Kerala"/>
    <x v="9"/>
    <x v="2"/>
    <x v="2"/>
    <s v="CHAdeMO"/>
    <x v="1"/>
    <n v="30"/>
    <n v="63"/>
    <n v="0"/>
    <x v="2"/>
    <x v="1"/>
    <n v="0"/>
    <n v="42.4"/>
    <x v="2"/>
    <n v="0"/>
    <s v="Target Achieved"/>
    <m/>
  </r>
  <r>
    <s v="EVTX0011"/>
    <d v="2026-01-29T00:00:00"/>
    <x v="3"/>
    <s v="Delhi"/>
    <x v="10"/>
    <x v="1"/>
    <x v="2"/>
    <s v="CHAdeMO"/>
    <x v="0"/>
    <n v="60"/>
    <n v="52"/>
    <n v="59.1"/>
    <x v="3"/>
    <x v="0"/>
    <n v="1300.2"/>
    <n v="92.5"/>
    <x v="3"/>
    <n v="1544"/>
    <s v="Below Target"/>
    <m/>
  </r>
  <r>
    <s v="EVTX0012"/>
    <d v="2026-02-09T00:00:00"/>
    <x v="6"/>
    <s v="Gujarat"/>
    <x v="11"/>
    <x v="1"/>
    <x v="2"/>
    <s v="CCS2"/>
    <x v="1"/>
    <n v="60"/>
    <n v="51"/>
    <n v="0"/>
    <x v="1"/>
    <x v="1"/>
    <n v="0"/>
    <n v="10.9"/>
    <x v="4"/>
    <n v="0"/>
    <s v="Target Achieved"/>
    <m/>
  </r>
  <r>
    <s v="EVTX0013"/>
    <d v="2026-01-15T00:00:00"/>
    <x v="3"/>
    <s v="Delhi"/>
    <x v="12"/>
    <x v="4"/>
    <x v="0"/>
    <s v="Type 2"/>
    <x v="1"/>
    <n v="22"/>
    <n v="159"/>
    <n v="62.7"/>
    <x v="1"/>
    <x v="0"/>
    <n v="1379.4"/>
    <n v="83.2"/>
    <x v="3"/>
    <n v="1638.05"/>
    <s v="Below Target"/>
    <m/>
  </r>
  <r>
    <s v="EVTX0014"/>
    <d v="2026-03-09T00:00:00"/>
    <x v="7"/>
    <s v="Uttar Pradesh"/>
    <x v="13"/>
    <x v="3"/>
    <x v="1"/>
    <s v="CHAdeMO"/>
    <x v="0"/>
    <n v="350"/>
    <n v="31"/>
    <n v="51.5"/>
    <x v="0"/>
    <x v="0"/>
    <n v="1030"/>
    <n v="91.7"/>
    <x v="0"/>
    <n v="1223.1400000000001"/>
    <s v="Below Target"/>
    <m/>
  </r>
  <r>
    <s v="EVTX0015"/>
    <d v="2026-02-27T00:00:00"/>
    <x v="0"/>
    <s v="Telangana"/>
    <x v="14"/>
    <x v="0"/>
    <x v="0"/>
    <s v="Type 2"/>
    <x v="2"/>
    <n v="22"/>
    <n v="93"/>
    <n v="0"/>
    <x v="1"/>
    <x v="1"/>
    <n v="0"/>
    <n v="36.5"/>
    <x v="4"/>
    <n v="0"/>
    <s v="Target Achieved"/>
    <m/>
  </r>
  <r>
    <s v="EVTX0016"/>
    <d v="2026-02-28T00:00:00"/>
    <x v="0"/>
    <s v="Telangana"/>
    <x v="15"/>
    <x v="4"/>
    <x v="0"/>
    <s v="Type 2"/>
    <x v="0"/>
    <n v="22"/>
    <n v="95"/>
    <n v="26.7"/>
    <x v="2"/>
    <x v="0"/>
    <n v="534"/>
    <n v="48.5"/>
    <x v="4"/>
    <n v="634.13"/>
    <s v="Below Target"/>
    <m/>
  </r>
  <r>
    <s v="EVTX0017"/>
    <d v="2026-03-04T00:00:00"/>
    <x v="4"/>
    <s v="Kerala"/>
    <x v="16"/>
    <x v="0"/>
    <x v="2"/>
    <s v="CHAdeMO"/>
    <x v="0"/>
    <n v="120"/>
    <n v="42"/>
    <n v="36.4"/>
    <x v="1"/>
    <x v="0"/>
    <n v="728"/>
    <n v="89.4"/>
    <x v="0"/>
    <n v="864.51"/>
    <s v="Below Target"/>
    <m/>
  </r>
  <r>
    <s v="EVTX0018"/>
    <d v="2026-04-14T00:00:00"/>
    <x v="0"/>
    <s v="Telangana"/>
    <x v="15"/>
    <x v="3"/>
    <x v="1"/>
    <s v="CHAdeMO"/>
    <x v="0"/>
    <n v="180"/>
    <n v="27"/>
    <n v="38.1"/>
    <x v="0"/>
    <x v="0"/>
    <n v="762"/>
    <n v="46.6"/>
    <x v="2"/>
    <n v="904.88"/>
    <s v="Below Target"/>
    <m/>
  </r>
  <r>
    <s v="EVTX0019"/>
    <d v="2026-04-24T00:00:00"/>
    <x v="1"/>
    <s v="Maharashtra"/>
    <x v="17"/>
    <x v="3"/>
    <x v="1"/>
    <s v="CCS2"/>
    <x v="0"/>
    <n v="180"/>
    <n v="15"/>
    <n v="35.200000000000003"/>
    <x v="1"/>
    <x v="0"/>
    <n v="704"/>
    <n v="48.5"/>
    <x v="2"/>
    <n v="836.01"/>
    <s v="Below Target"/>
    <m/>
  </r>
  <r>
    <s v="EVTX0020"/>
    <d v="2026-04-08T00:00:00"/>
    <x v="2"/>
    <s v="Karnataka"/>
    <x v="2"/>
    <x v="2"/>
    <x v="0"/>
    <s v="Type 2"/>
    <x v="2"/>
    <n v="11"/>
    <n v="143"/>
    <n v="0"/>
    <x v="2"/>
    <x v="2"/>
    <n v="0"/>
    <n v="41.3"/>
    <x v="2"/>
    <n v="0"/>
    <s v="Target Achieved"/>
    <m/>
  </r>
  <r>
    <s v="EVTX0021"/>
    <d v="2026-02-18T00:00:00"/>
    <x v="7"/>
    <s v="Uttar Pradesh"/>
    <x v="18"/>
    <x v="2"/>
    <x v="2"/>
    <s v="CCS2"/>
    <x v="0"/>
    <n v="30"/>
    <n v="23"/>
    <n v="47.1"/>
    <x v="1"/>
    <x v="0"/>
    <n v="1036.2"/>
    <n v="92.9"/>
    <x v="4"/>
    <n v="1230.5"/>
    <s v="Below Target"/>
    <m/>
  </r>
  <r>
    <s v="EVTX0022"/>
    <d v="2026-05-11T00:00:00"/>
    <x v="5"/>
    <s v="Maharashtra"/>
    <x v="19"/>
    <x v="2"/>
    <x v="0"/>
    <s v="Type 2"/>
    <x v="0"/>
    <n v="7"/>
    <n v="95"/>
    <n v="0"/>
    <x v="1"/>
    <x v="1"/>
    <n v="0"/>
    <n v="28.2"/>
    <x v="1"/>
    <n v="0"/>
    <s v="Target Achieved"/>
    <m/>
  </r>
  <r>
    <s v="EVTX0023"/>
    <d v="2026-01-21T00:00:00"/>
    <x v="1"/>
    <s v="Maharashtra"/>
    <x v="20"/>
    <x v="0"/>
    <x v="2"/>
    <s v="CHAdeMO"/>
    <x v="2"/>
    <n v="50"/>
    <n v="36"/>
    <n v="34.5"/>
    <x v="0"/>
    <x v="0"/>
    <n v="621"/>
    <n v="63.8"/>
    <x v="3"/>
    <n v="737.44"/>
    <s v="Below Target"/>
    <m/>
  </r>
  <r>
    <s v="EVTX0024"/>
    <d v="2026-05-25T00:00:00"/>
    <x v="2"/>
    <s v="Karnataka"/>
    <x v="21"/>
    <x v="0"/>
    <x v="0"/>
    <s v="Type 2"/>
    <x v="0"/>
    <n v="11"/>
    <n v="68"/>
    <n v="0"/>
    <x v="0"/>
    <x v="1"/>
    <n v="0"/>
    <n v="52"/>
    <x v="1"/>
    <n v="0"/>
    <s v="Target Achieved"/>
    <m/>
  </r>
  <r>
    <s v="EVTX0025"/>
    <d v="2026-03-14T00:00:00"/>
    <x v="1"/>
    <s v="Maharashtra"/>
    <x v="22"/>
    <x v="2"/>
    <x v="0"/>
    <s v="Type 2"/>
    <x v="2"/>
    <n v="22"/>
    <n v="170"/>
    <n v="0"/>
    <x v="2"/>
    <x v="1"/>
    <n v="0"/>
    <n v="10.4"/>
    <x v="0"/>
    <n v="0"/>
    <s v="Target Achieved"/>
    <m/>
  </r>
  <r>
    <s v="EVTX0026"/>
    <d v="2026-02-04T00:00:00"/>
    <x v="3"/>
    <s v="Delhi"/>
    <x v="23"/>
    <x v="1"/>
    <x v="2"/>
    <s v="CCS2"/>
    <x v="0"/>
    <n v="60"/>
    <n v="58"/>
    <n v="22.1"/>
    <x v="0"/>
    <x v="0"/>
    <n v="397.8"/>
    <n v="47.8"/>
    <x v="4"/>
    <n v="472.39"/>
    <s v="Below Target"/>
    <m/>
  </r>
  <r>
    <s v="EVTX0027"/>
    <d v="2026-03-06T00:00:00"/>
    <x v="6"/>
    <s v="Gujarat"/>
    <x v="24"/>
    <x v="1"/>
    <x v="0"/>
    <s v="Type 2"/>
    <x v="0"/>
    <n v="7"/>
    <n v="35"/>
    <n v="30.3"/>
    <x v="3"/>
    <x v="0"/>
    <n v="484.8"/>
    <n v="75.099999999999994"/>
    <x v="0"/>
    <n v="575.71"/>
    <s v="Below Target"/>
    <m/>
  </r>
  <r>
    <s v="EVTX0028"/>
    <d v="2026-05-22T00:00:00"/>
    <x v="5"/>
    <s v="Maharashtra"/>
    <x v="25"/>
    <x v="1"/>
    <x v="1"/>
    <s v="CHAdeMO"/>
    <x v="1"/>
    <n v="150"/>
    <n v="40"/>
    <n v="67.2"/>
    <x v="1"/>
    <x v="0"/>
    <n v="1075.2"/>
    <n v="69.400000000000006"/>
    <x v="1"/>
    <n v="1276.81"/>
    <s v="Below Target"/>
    <m/>
  </r>
  <r>
    <s v="EVTX0029"/>
    <d v="2026-04-21T00:00:00"/>
    <x v="4"/>
    <s v="Kerala"/>
    <x v="26"/>
    <x v="1"/>
    <x v="0"/>
    <s v="Type 2"/>
    <x v="0"/>
    <n v="7"/>
    <n v="126"/>
    <n v="22.1"/>
    <x v="2"/>
    <x v="0"/>
    <n v="353.6"/>
    <n v="77"/>
    <x v="2"/>
    <n v="419.9"/>
    <s v="Below Target"/>
    <m/>
  </r>
  <r>
    <s v="EVTX0030"/>
    <d v="2026-02-09T00:00:00"/>
    <x v="6"/>
    <s v="Gujarat"/>
    <x v="27"/>
    <x v="1"/>
    <x v="0"/>
    <s v="Type 2"/>
    <x v="0"/>
    <n v="7"/>
    <n v="80"/>
    <n v="0"/>
    <x v="0"/>
    <x v="2"/>
    <n v="0"/>
    <n v="43.1"/>
    <x v="4"/>
    <n v="0"/>
    <s v="Target Achieved"/>
    <m/>
  </r>
  <r>
    <s v="EVTX0031"/>
    <d v="2026-03-10T00:00:00"/>
    <x v="8"/>
    <s v="Haryana"/>
    <x v="28"/>
    <x v="3"/>
    <x v="0"/>
    <s v="Type 2"/>
    <x v="1"/>
    <n v="7"/>
    <n v="155"/>
    <n v="0"/>
    <x v="1"/>
    <x v="2"/>
    <n v="0"/>
    <n v="20"/>
    <x v="0"/>
    <n v="0"/>
    <s v="Target Achieved"/>
    <m/>
  </r>
  <r>
    <s v="EVTX0032"/>
    <d v="2026-02-28T00:00:00"/>
    <x v="9"/>
    <s v="Tamil Nadu"/>
    <x v="29"/>
    <x v="1"/>
    <x v="0"/>
    <s v="Type 2"/>
    <x v="0"/>
    <n v="11"/>
    <n v="106"/>
    <n v="0"/>
    <x v="0"/>
    <x v="2"/>
    <n v="0"/>
    <n v="48.9"/>
    <x v="4"/>
    <n v="0"/>
    <s v="Target Achieved"/>
    <m/>
  </r>
  <r>
    <s v="EVTX0033"/>
    <d v="2026-04-13T00:00:00"/>
    <x v="9"/>
    <s v="Tamil Nadu"/>
    <x v="30"/>
    <x v="2"/>
    <x v="1"/>
    <s v="CHAdeMO"/>
    <x v="0"/>
    <n v="180"/>
    <n v="28"/>
    <n v="72.5"/>
    <x v="1"/>
    <x v="0"/>
    <n v="1305"/>
    <n v="37.4"/>
    <x v="2"/>
    <n v="1549.7"/>
    <s v="Below Target"/>
    <m/>
  </r>
  <r>
    <s v="EVTX0034"/>
    <d v="2026-03-22T00:00:00"/>
    <x v="8"/>
    <s v="Haryana"/>
    <x v="31"/>
    <x v="2"/>
    <x v="2"/>
    <s v="CCS2"/>
    <x v="2"/>
    <n v="30"/>
    <n v="65"/>
    <n v="37.200000000000003"/>
    <x v="0"/>
    <x v="0"/>
    <n v="818.4"/>
    <n v="93.3"/>
    <x v="0"/>
    <n v="971.86"/>
    <s v="Below Target"/>
    <m/>
  </r>
  <r>
    <s v="EVTX0035"/>
    <d v="2026-04-21T00:00:00"/>
    <x v="1"/>
    <s v="Maharashtra"/>
    <x v="22"/>
    <x v="1"/>
    <x v="0"/>
    <s v="Type 2"/>
    <x v="1"/>
    <n v="11"/>
    <n v="66"/>
    <n v="0"/>
    <x v="2"/>
    <x v="1"/>
    <n v="0"/>
    <n v="42.4"/>
    <x v="2"/>
    <n v="0"/>
    <s v="Target Achieved"/>
    <m/>
  </r>
  <r>
    <s v="EVTX0036"/>
    <d v="2026-04-15T00:00:00"/>
    <x v="6"/>
    <s v="Gujarat"/>
    <x v="32"/>
    <x v="3"/>
    <x v="2"/>
    <s v="CHAdeMO"/>
    <x v="1"/>
    <n v="50"/>
    <n v="32"/>
    <n v="0"/>
    <x v="2"/>
    <x v="1"/>
    <n v="0"/>
    <n v="28.9"/>
    <x v="2"/>
    <n v="0"/>
    <s v="Target Achieved"/>
    <m/>
  </r>
  <r>
    <s v="EVTX0037"/>
    <d v="2026-04-14T00:00:00"/>
    <x v="5"/>
    <s v="Maharashtra"/>
    <x v="33"/>
    <x v="3"/>
    <x v="1"/>
    <s v="CCS2"/>
    <x v="2"/>
    <n v="350"/>
    <n v="35"/>
    <n v="46.9"/>
    <x v="2"/>
    <x v="0"/>
    <n v="844.2"/>
    <n v="64.3"/>
    <x v="2"/>
    <n v="1002.5"/>
    <s v="Below Target"/>
    <m/>
  </r>
  <r>
    <s v="EVTX0038"/>
    <d v="2026-05-02T00:00:00"/>
    <x v="1"/>
    <s v="Maharashtra"/>
    <x v="34"/>
    <x v="4"/>
    <x v="1"/>
    <s v="CCS2"/>
    <x v="1"/>
    <n v="240"/>
    <n v="12"/>
    <n v="62.8"/>
    <x v="1"/>
    <x v="0"/>
    <n v="1004.8"/>
    <n v="77.400000000000006"/>
    <x v="1"/>
    <n v="1193.21"/>
    <s v="Below Target"/>
    <m/>
  </r>
  <r>
    <s v="EVTX0039"/>
    <d v="2026-01-07T00:00:00"/>
    <x v="1"/>
    <s v="Maharashtra"/>
    <x v="35"/>
    <x v="2"/>
    <x v="0"/>
    <s v="Type 2"/>
    <x v="0"/>
    <n v="7"/>
    <n v="151"/>
    <n v="0"/>
    <x v="3"/>
    <x v="1"/>
    <n v="0"/>
    <n v="28.6"/>
    <x v="3"/>
    <n v="0"/>
    <s v="Target Achieved"/>
    <m/>
  </r>
  <r>
    <s v="EVTX0040"/>
    <d v="2026-05-07T00:00:00"/>
    <x v="1"/>
    <s v="Maharashtra"/>
    <x v="36"/>
    <x v="2"/>
    <x v="2"/>
    <s v="CCS2"/>
    <x v="0"/>
    <n v="120"/>
    <n v="34"/>
    <n v="19.8"/>
    <x v="1"/>
    <x v="0"/>
    <n v="435.6"/>
    <n v="64.3"/>
    <x v="1"/>
    <n v="517.28"/>
    <s v="Below Target"/>
    <m/>
  </r>
  <r>
    <s v="EVTX0041"/>
    <d v="2026-04-27T00:00:00"/>
    <x v="1"/>
    <s v="Maharashtra"/>
    <x v="37"/>
    <x v="2"/>
    <x v="0"/>
    <s v="Type 2"/>
    <x v="2"/>
    <n v="22"/>
    <n v="164"/>
    <n v="0"/>
    <x v="2"/>
    <x v="2"/>
    <n v="0"/>
    <n v="29.2"/>
    <x v="2"/>
    <n v="0"/>
    <s v="Target Achieved"/>
    <m/>
  </r>
  <r>
    <s v="EVTX0042"/>
    <d v="2026-05-02T00:00:00"/>
    <x v="7"/>
    <s v="Uttar Pradesh"/>
    <x v="13"/>
    <x v="3"/>
    <x v="2"/>
    <s v="CHAdeMO"/>
    <x v="0"/>
    <n v="120"/>
    <n v="60"/>
    <n v="0"/>
    <x v="2"/>
    <x v="1"/>
    <n v="0"/>
    <n v="20.8"/>
    <x v="1"/>
    <n v="0"/>
    <s v="Target Achieved"/>
    <m/>
  </r>
  <r>
    <s v="EVTX0043"/>
    <d v="2026-03-02T00:00:00"/>
    <x v="0"/>
    <s v="Telangana"/>
    <x v="38"/>
    <x v="0"/>
    <x v="2"/>
    <s v="CHAdeMO"/>
    <x v="2"/>
    <n v="50"/>
    <n v="34"/>
    <n v="33.700000000000003"/>
    <x v="1"/>
    <x v="0"/>
    <n v="539.20000000000005"/>
    <n v="79.5"/>
    <x v="0"/>
    <n v="640.30999999999995"/>
    <s v="Below Target"/>
    <m/>
  </r>
  <r>
    <s v="EVTX0044"/>
    <d v="2026-03-26T00:00:00"/>
    <x v="8"/>
    <s v="Haryana"/>
    <x v="39"/>
    <x v="0"/>
    <x v="1"/>
    <s v="CHAdeMO"/>
    <x v="2"/>
    <n v="350"/>
    <n v="22"/>
    <n v="68.599999999999994"/>
    <x v="1"/>
    <x v="0"/>
    <n v="1509.2"/>
    <n v="94.6"/>
    <x v="0"/>
    <n v="1792.19"/>
    <s v="Below Target"/>
    <m/>
  </r>
  <r>
    <s v="EVTX0045"/>
    <d v="2026-05-03T00:00:00"/>
    <x v="4"/>
    <s v="Kerala"/>
    <x v="40"/>
    <x v="2"/>
    <x v="0"/>
    <s v="Type 2"/>
    <x v="2"/>
    <n v="11"/>
    <n v="172"/>
    <n v="0"/>
    <x v="2"/>
    <x v="2"/>
    <n v="0"/>
    <n v="43.6"/>
    <x v="1"/>
    <n v="0"/>
    <s v="Target Achieved"/>
    <m/>
  </r>
  <r>
    <s v="EVTX0046"/>
    <d v="2026-05-05T00:00:00"/>
    <x v="4"/>
    <s v="Kerala"/>
    <x v="41"/>
    <x v="3"/>
    <x v="0"/>
    <s v="Type 2"/>
    <x v="2"/>
    <n v="7"/>
    <n v="134"/>
    <n v="0"/>
    <x v="3"/>
    <x v="2"/>
    <n v="0"/>
    <n v="25.1"/>
    <x v="1"/>
    <n v="0"/>
    <s v="Target Achieved"/>
    <m/>
  </r>
  <r>
    <s v="EVTX0047"/>
    <d v="2026-02-02T00:00:00"/>
    <x v="5"/>
    <s v="Maharashtra"/>
    <x v="42"/>
    <x v="3"/>
    <x v="1"/>
    <s v="CCS2"/>
    <x v="2"/>
    <n v="350"/>
    <n v="14"/>
    <n v="66.099999999999994"/>
    <x v="1"/>
    <x v="0"/>
    <n v="1057.5999999999999"/>
    <n v="38.200000000000003"/>
    <x v="4"/>
    <n v="1255.9100000000001"/>
    <s v="Below Target"/>
    <m/>
  </r>
  <r>
    <s v="EVTX0048"/>
    <d v="2026-04-27T00:00:00"/>
    <x v="9"/>
    <s v="Tamil Nadu"/>
    <x v="43"/>
    <x v="0"/>
    <x v="2"/>
    <s v="CHAdeMO"/>
    <x v="2"/>
    <n v="60"/>
    <n v="73"/>
    <n v="0"/>
    <x v="2"/>
    <x v="2"/>
    <n v="0"/>
    <n v="13.7"/>
    <x v="2"/>
    <n v="0"/>
    <s v="Target Achieved"/>
    <m/>
  </r>
  <r>
    <s v="EVTX0049"/>
    <d v="2026-03-31T00:00:00"/>
    <x v="6"/>
    <s v="Gujarat"/>
    <x v="44"/>
    <x v="4"/>
    <x v="0"/>
    <s v="Type 2"/>
    <x v="1"/>
    <n v="7"/>
    <n v="98"/>
    <n v="21.4"/>
    <x v="1"/>
    <x v="0"/>
    <n v="299.60000000000002"/>
    <n v="74.099999999999994"/>
    <x v="0"/>
    <n v="355.78"/>
    <s v="Below Target"/>
    <m/>
  </r>
  <r>
    <s v="EVTX0050"/>
    <d v="2026-01-30T00:00:00"/>
    <x v="5"/>
    <s v="Maharashtra"/>
    <x v="45"/>
    <x v="4"/>
    <x v="1"/>
    <s v="CCS2"/>
    <x v="2"/>
    <n v="180"/>
    <n v="29"/>
    <n v="48.7"/>
    <x v="2"/>
    <x v="0"/>
    <n v="681.8"/>
    <n v="84"/>
    <x v="3"/>
    <n v="809.65"/>
    <s v="Below Target"/>
    <m/>
  </r>
  <r>
    <s v="EVTX0051"/>
    <d v="2026-05-29T00:00:00"/>
    <x v="3"/>
    <s v="Delhi"/>
    <x v="23"/>
    <x v="4"/>
    <x v="0"/>
    <s v="Type 2"/>
    <x v="2"/>
    <n v="22"/>
    <n v="85"/>
    <n v="0"/>
    <x v="3"/>
    <x v="2"/>
    <n v="0"/>
    <n v="13.4"/>
    <x v="1"/>
    <n v="0"/>
    <s v="Target Achieved"/>
    <m/>
  </r>
  <r>
    <s v="EVTX0052"/>
    <d v="2026-01-31T00:00:00"/>
    <x v="0"/>
    <s v="Telangana"/>
    <x v="46"/>
    <x v="3"/>
    <x v="1"/>
    <s v="CCS2"/>
    <x v="2"/>
    <n v="150"/>
    <n v="26"/>
    <n v="51.4"/>
    <x v="3"/>
    <x v="0"/>
    <n v="719.6"/>
    <n v="88.5"/>
    <x v="3"/>
    <n v="854.53"/>
    <s v="Below Target"/>
    <m/>
  </r>
  <r>
    <s v="EVTX0053"/>
    <d v="2026-04-03T00:00:00"/>
    <x v="0"/>
    <s v="Telangana"/>
    <x v="47"/>
    <x v="1"/>
    <x v="1"/>
    <s v="CHAdeMO"/>
    <x v="1"/>
    <n v="180"/>
    <n v="33"/>
    <n v="0"/>
    <x v="0"/>
    <x v="2"/>
    <n v="0"/>
    <n v="33.5"/>
    <x v="2"/>
    <n v="0"/>
    <s v="Target Achieved"/>
    <m/>
  </r>
  <r>
    <s v="EVTX0054"/>
    <d v="2026-05-04T00:00:00"/>
    <x v="4"/>
    <s v="Kerala"/>
    <x v="48"/>
    <x v="4"/>
    <x v="2"/>
    <s v="CHAdeMO"/>
    <x v="1"/>
    <n v="50"/>
    <n v="73"/>
    <n v="70.599999999999994"/>
    <x v="2"/>
    <x v="0"/>
    <n v="1270.8"/>
    <n v="90.5"/>
    <x v="1"/>
    <n v="1509.09"/>
    <s v="Below Target"/>
    <m/>
  </r>
  <r>
    <s v="EVTX0055"/>
    <d v="2026-03-28T00:00:00"/>
    <x v="7"/>
    <s v="Uttar Pradesh"/>
    <x v="49"/>
    <x v="2"/>
    <x v="0"/>
    <s v="Type 2"/>
    <x v="2"/>
    <n v="11"/>
    <n v="89"/>
    <n v="31.8"/>
    <x v="2"/>
    <x v="0"/>
    <n v="572.4"/>
    <n v="56.4"/>
    <x v="0"/>
    <n v="679.73"/>
    <s v="Below Target"/>
    <m/>
  </r>
  <r>
    <s v="EVTX0056"/>
    <d v="2026-05-13T00:00:00"/>
    <x v="3"/>
    <s v="Delhi"/>
    <x v="50"/>
    <x v="3"/>
    <x v="0"/>
    <s v="Type 2"/>
    <x v="0"/>
    <n v="11"/>
    <n v="177"/>
    <n v="0"/>
    <x v="0"/>
    <x v="2"/>
    <n v="0"/>
    <n v="44.1"/>
    <x v="1"/>
    <n v="0"/>
    <s v="Target Achieved"/>
    <m/>
  </r>
  <r>
    <s v="EVTX0057"/>
    <d v="2026-01-05T00:00:00"/>
    <x v="7"/>
    <s v="Uttar Pradesh"/>
    <x v="51"/>
    <x v="2"/>
    <x v="0"/>
    <s v="Type 2"/>
    <x v="2"/>
    <n v="22"/>
    <n v="97"/>
    <n v="0"/>
    <x v="0"/>
    <x v="2"/>
    <n v="0"/>
    <n v="23.8"/>
    <x v="3"/>
    <n v="0"/>
    <s v="Target Achieved"/>
    <m/>
  </r>
  <r>
    <s v="EVTX0058"/>
    <d v="2026-05-22T00:00:00"/>
    <x v="9"/>
    <s v="Tamil Nadu"/>
    <x v="52"/>
    <x v="4"/>
    <x v="1"/>
    <s v="CHAdeMO"/>
    <x v="2"/>
    <n v="350"/>
    <n v="18"/>
    <n v="28.5"/>
    <x v="2"/>
    <x v="0"/>
    <n v="456"/>
    <n v="42.6"/>
    <x v="1"/>
    <n v="541.51"/>
    <s v="Below Target"/>
    <m/>
  </r>
  <r>
    <s v="EVTX0059"/>
    <d v="2026-05-18T00:00:00"/>
    <x v="9"/>
    <s v="Tamil Nadu"/>
    <x v="53"/>
    <x v="2"/>
    <x v="1"/>
    <s v="CCS2"/>
    <x v="0"/>
    <n v="240"/>
    <n v="33"/>
    <n v="0"/>
    <x v="0"/>
    <x v="2"/>
    <n v="0"/>
    <n v="36.5"/>
    <x v="1"/>
    <n v="0"/>
    <s v="Target Achieved"/>
    <m/>
  </r>
  <r>
    <s v="EVTX0060"/>
    <d v="2026-01-26T00:00:00"/>
    <x v="4"/>
    <s v="Kerala"/>
    <x v="54"/>
    <x v="0"/>
    <x v="0"/>
    <s v="Type 2"/>
    <x v="2"/>
    <n v="7"/>
    <n v="112"/>
    <n v="8.9"/>
    <x v="0"/>
    <x v="0"/>
    <n v="195.8"/>
    <n v="43"/>
    <x v="3"/>
    <n v="232.51"/>
    <s v="Below Target"/>
    <m/>
  </r>
  <r>
    <s v="EVTX0061"/>
    <d v="2026-02-02T00:00:00"/>
    <x v="2"/>
    <s v="Karnataka"/>
    <x v="55"/>
    <x v="1"/>
    <x v="1"/>
    <s v="CHAdeMO"/>
    <x v="0"/>
    <n v="240"/>
    <n v="25"/>
    <n v="0"/>
    <x v="1"/>
    <x v="1"/>
    <n v="0"/>
    <n v="31.5"/>
    <x v="4"/>
    <n v="0"/>
    <s v="Target Achieved"/>
    <m/>
  </r>
  <r>
    <s v="EVTX0062"/>
    <d v="2026-03-06T00:00:00"/>
    <x v="5"/>
    <s v="Maharashtra"/>
    <x v="19"/>
    <x v="0"/>
    <x v="2"/>
    <s v="CCS2"/>
    <x v="0"/>
    <n v="30"/>
    <n v="56"/>
    <n v="0"/>
    <x v="3"/>
    <x v="2"/>
    <n v="0"/>
    <n v="38.299999999999997"/>
    <x v="0"/>
    <n v="0"/>
    <s v="Target Achieved"/>
    <m/>
  </r>
  <r>
    <s v="EVTX0063"/>
    <d v="2026-05-25T00:00:00"/>
    <x v="5"/>
    <s v="Maharashtra"/>
    <x v="56"/>
    <x v="2"/>
    <x v="2"/>
    <s v="CCS2"/>
    <x v="0"/>
    <n v="120"/>
    <n v="58"/>
    <n v="0"/>
    <x v="1"/>
    <x v="1"/>
    <n v="0"/>
    <n v="36.799999999999997"/>
    <x v="1"/>
    <n v="0"/>
    <s v="Target Achieved"/>
    <m/>
  </r>
  <r>
    <s v="EVTX0064"/>
    <d v="2026-04-08T00:00:00"/>
    <x v="1"/>
    <s v="Maharashtra"/>
    <x v="57"/>
    <x v="4"/>
    <x v="2"/>
    <s v="CHAdeMO"/>
    <x v="2"/>
    <n v="30"/>
    <n v="59"/>
    <n v="72.3"/>
    <x v="3"/>
    <x v="0"/>
    <n v="1012.2"/>
    <n v="94.7"/>
    <x v="2"/>
    <n v="1202"/>
    <s v="Below Target"/>
    <m/>
  </r>
  <r>
    <s v="EVTX0065"/>
    <d v="2026-01-21T00:00:00"/>
    <x v="1"/>
    <s v="Maharashtra"/>
    <x v="58"/>
    <x v="3"/>
    <x v="0"/>
    <s v="Type 2"/>
    <x v="0"/>
    <n v="7"/>
    <n v="75"/>
    <n v="0"/>
    <x v="0"/>
    <x v="1"/>
    <n v="0"/>
    <n v="10.1"/>
    <x v="3"/>
    <n v="0"/>
    <s v="Target Achieved"/>
    <m/>
  </r>
  <r>
    <s v="EVTX0066"/>
    <d v="2026-03-16T00:00:00"/>
    <x v="4"/>
    <s v="Kerala"/>
    <x v="16"/>
    <x v="2"/>
    <x v="0"/>
    <s v="Type 2"/>
    <x v="0"/>
    <n v="22"/>
    <n v="151"/>
    <n v="12.8"/>
    <x v="2"/>
    <x v="0"/>
    <n v="204.8"/>
    <n v="93.2"/>
    <x v="0"/>
    <n v="243.2"/>
    <s v="Below Target"/>
    <m/>
  </r>
  <r>
    <s v="EVTX0067"/>
    <d v="2026-01-30T00:00:00"/>
    <x v="1"/>
    <s v="Maharashtra"/>
    <x v="59"/>
    <x v="2"/>
    <x v="1"/>
    <s v="CCS2"/>
    <x v="1"/>
    <n v="180"/>
    <n v="12"/>
    <n v="12"/>
    <x v="0"/>
    <x v="0"/>
    <n v="216"/>
    <n v="72.5"/>
    <x v="3"/>
    <n v="256.5"/>
    <s v="Below Target"/>
    <m/>
  </r>
  <r>
    <s v="EVTX0068"/>
    <d v="2026-02-01T00:00:00"/>
    <x v="3"/>
    <s v="Delhi"/>
    <x v="60"/>
    <x v="1"/>
    <x v="2"/>
    <s v="CHAdeMO"/>
    <x v="1"/>
    <n v="120"/>
    <n v="48"/>
    <n v="13.4"/>
    <x v="3"/>
    <x v="0"/>
    <n v="187.6"/>
    <n v="91"/>
    <x v="4"/>
    <n v="222.78"/>
    <s v="Below Target"/>
    <m/>
  </r>
  <r>
    <s v="EVTX0069"/>
    <d v="2026-01-07T00:00:00"/>
    <x v="4"/>
    <s v="Kerala"/>
    <x v="61"/>
    <x v="3"/>
    <x v="0"/>
    <s v="Type 2"/>
    <x v="0"/>
    <n v="22"/>
    <n v="45"/>
    <n v="59.1"/>
    <x v="1"/>
    <x v="0"/>
    <n v="945.6"/>
    <n v="64.599999999999994"/>
    <x v="3"/>
    <n v="1122.9100000000001"/>
    <s v="Below Target"/>
    <m/>
  </r>
  <r>
    <s v="EVTX0070"/>
    <d v="2026-05-30T00:00:00"/>
    <x v="3"/>
    <s v="Delhi"/>
    <x v="62"/>
    <x v="1"/>
    <x v="2"/>
    <s v="CHAdeMO"/>
    <x v="0"/>
    <n v="120"/>
    <n v="41"/>
    <n v="29.5"/>
    <x v="3"/>
    <x v="0"/>
    <n v="413"/>
    <n v="89"/>
    <x v="1"/>
    <n v="490.44"/>
    <s v="Below Target"/>
    <m/>
  </r>
  <r>
    <s v="EVTX0071"/>
    <d v="2026-03-15T00:00:00"/>
    <x v="8"/>
    <s v="Haryana"/>
    <x v="63"/>
    <x v="0"/>
    <x v="1"/>
    <s v="CHAdeMO"/>
    <x v="1"/>
    <n v="150"/>
    <n v="20"/>
    <n v="0"/>
    <x v="1"/>
    <x v="2"/>
    <n v="0"/>
    <n v="21.4"/>
    <x v="0"/>
    <n v="0"/>
    <s v="Target Achieved"/>
    <m/>
  </r>
  <r>
    <s v="EVTX0072"/>
    <d v="2026-01-01T00:00:00"/>
    <x v="8"/>
    <s v="Haryana"/>
    <x v="64"/>
    <x v="4"/>
    <x v="1"/>
    <s v="CHAdeMO"/>
    <x v="2"/>
    <n v="240"/>
    <n v="29"/>
    <n v="58.7"/>
    <x v="1"/>
    <x v="0"/>
    <n v="1174"/>
    <n v="82.9"/>
    <x v="3"/>
    <n v="1394.14"/>
    <s v="Below Target"/>
    <m/>
  </r>
  <r>
    <s v="EVTX0073"/>
    <d v="2026-03-15T00:00:00"/>
    <x v="3"/>
    <s v="Delhi"/>
    <x v="65"/>
    <x v="2"/>
    <x v="2"/>
    <s v="CHAdeMO"/>
    <x v="0"/>
    <n v="50"/>
    <n v="65"/>
    <n v="0"/>
    <x v="1"/>
    <x v="1"/>
    <n v="0"/>
    <n v="17.100000000000001"/>
    <x v="0"/>
    <n v="0"/>
    <s v="Target Achieved"/>
    <m/>
  </r>
  <r>
    <s v="EVTX0074"/>
    <d v="2026-01-24T00:00:00"/>
    <x v="2"/>
    <s v="Karnataka"/>
    <x v="66"/>
    <x v="1"/>
    <x v="0"/>
    <s v="Type 2"/>
    <x v="0"/>
    <n v="22"/>
    <n v="74"/>
    <n v="41.4"/>
    <x v="3"/>
    <x v="0"/>
    <n v="745.2"/>
    <n v="67.099999999999994"/>
    <x v="3"/>
    <n v="884.93"/>
    <s v="Below Target"/>
    <m/>
  </r>
  <r>
    <s v="EVTX0075"/>
    <d v="2026-05-01T00:00:00"/>
    <x v="8"/>
    <s v="Haryana"/>
    <x v="67"/>
    <x v="4"/>
    <x v="0"/>
    <s v="Type 2"/>
    <x v="2"/>
    <n v="7"/>
    <n v="165"/>
    <n v="0"/>
    <x v="0"/>
    <x v="2"/>
    <n v="0"/>
    <n v="43.6"/>
    <x v="1"/>
    <n v="0"/>
    <s v="Target Achieved"/>
    <m/>
  </r>
  <r>
    <s v="EVTX0076"/>
    <d v="2026-04-17T00:00:00"/>
    <x v="0"/>
    <s v="Telangana"/>
    <x v="68"/>
    <x v="1"/>
    <x v="2"/>
    <s v="CHAdeMO"/>
    <x v="0"/>
    <n v="120"/>
    <n v="75"/>
    <n v="18"/>
    <x v="2"/>
    <x v="0"/>
    <n v="396"/>
    <n v="65.5"/>
    <x v="2"/>
    <n v="470.25"/>
    <s v="Below Target"/>
    <m/>
  </r>
  <r>
    <s v="EVTX0077"/>
    <d v="2026-04-07T00:00:00"/>
    <x v="6"/>
    <s v="Gujarat"/>
    <x v="69"/>
    <x v="3"/>
    <x v="2"/>
    <s v="CHAdeMO"/>
    <x v="0"/>
    <n v="120"/>
    <n v="34"/>
    <n v="0"/>
    <x v="0"/>
    <x v="1"/>
    <n v="0"/>
    <n v="48.5"/>
    <x v="2"/>
    <n v="0"/>
    <s v="Target Achieved"/>
    <m/>
  </r>
  <r>
    <s v="EVTX0078"/>
    <d v="2026-05-02T00:00:00"/>
    <x v="2"/>
    <s v="Karnataka"/>
    <x v="70"/>
    <x v="2"/>
    <x v="1"/>
    <s v="CHAdeMO"/>
    <x v="2"/>
    <n v="150"/>
    <n v="14"/>
    <n v="0"/>
    <x v="0"/>
    <x v="2"/>
    <n v="0"/>
    <n v="32.6"/>
    <x v="1"/>
    <n v="0"/>
    <s v="Target Achieved"/>
    <m/>
  </r>
  <r>
    <s v="EVTX0079"/>
    <d v="2026-04-23T00:00:00"/>
    <x v="9"/>
    <s v="Tamil Nadu"/>
    <x v="71"/>
    <x v="1"/>
    <x v="0"/>
    <s v="Type 2"/>
    <x v="1"/>
    <n v="22"/>
    <n v="71"/>
    <n v="35.5"/>
    <x v="3"/>
    <x v="0"/>
    <n v="568"/>
    <n v="39.700000000000003"/>
    <x v="2"/>
    <n v="674.51"/>
    <s v="Below Target"/>
    <m/>
  </r>
  <r>
    <s v="EVTX0080"/>
    <d v="2026-01-21T00:00:00"/>
    <x v="9"/>
    <s v="Tamil Nadu"/>
    <x v="72"/>
    <x v="1"/>
    <x v="2"/>
    <s v="CHAdeMO"/>
    <x v="2"/>
    <n v="30"/>
    <n v="59"/>
    <n v="0"/>
    <x v="3"/>
    <x v="1"/>
    <n v="0"/>
    <n v="13.1"/>
    <x v="3"/>
    <n v="0"/>
    <s v="Target Achieved"/>
    <m/>
  </r>
  <r>
    <s v="EVTX0081"/>
    <d v="2026-04-22T00:00:00"/>
    <x v="1"/>
    <s v="Maharashtra"/>
    <x v="73"/>
    <x v="0"/>
    <x v="0"/>
    <s v="Type 2"/>
    <x v="1"/>
    <n v="7"/>
    <n v="111"/>
    <n v="0"/>
    <x v="1"/>
    <x v="2"/>
    <n v="0"/>
    <n v="50.7"/>
    <x v="2"/>
    <n v="0"/>
    <s v="Target Achieved"/>
    <m/>
  </r>
  <r>
    <s v="EVTX0082"/>
    <d v="2026-03-17T00:00:00"/>
    <x v="9"/>
    <s v="Tamil Nadu"/>
    <x v="74"/>
    <x v="0"/>
    <x v="2"/>
    <s v="CHAdeMO"/>
    <x v="2"/>
    <n v="120"/>
    <n v="56"/>
    <n v="53.7"/>
    <x v="0"/>
    <x v="0"/>
    <n v="859.2"/>
    <n v="45.7"/>
    <x v="0"/>
    <n v="1020.31"/>
    <s v="Below Target"/>
    <m/>
  </r>
  <r>
    <s v="EVTX0083"/>
    <d v="2026-03-03T00:00:00"/>
    <x v="4"/>
    <s v="Kerala"/>
    <x v="40"/>
    <x v="2"/>
    <x v="2"/>
    <s v="CCS2"/>
    <x v="0"/>
    <n v="120"/>
    <n v="36"/>
    <n v="52.7"/>
    <x v="3"/>
    <x v="0"/>
    <n v="1054"/>
    <n v="91.8"/>
    <x v="0"/>
    <n v="1251.6400000000001"/>
    <s v="Below Target"/>
    <m/>
  </r>
  <r>
    <s v="EVTX0084"/>
    <d v="2026-04-24T00:00:00"/>
    <x v="5"/>
    <s v="Maharashtra"/>
    <x v="75"/>
    <x v="0"/>
    <x v="2"/>
    <s v="CHAdeMO"/>
    <x v="1"/>
    <n v="120"/>
    <n v="74"/>
    <n v="28.2"/>
    <x v="3"/>
    <x v="0"/>
    <n v="564"/>
    <n v="88.8"/>
    <x v="2"/>
    <n v="669.76"/>
    <s v="Below Target"/>
    <m/>
  </r>
  <r>
    <s v="EVTX0085"/>
    <d v="2026-05-27T00:00:00"/>
    <x v="1"/>
    <s v="Maharashtra"/>
    <x v="36"/>
    <x v="3"/>
    <x v="2"/>
    <s v="CHAdeMO"/>
    <x v="1"/>
    <n v="120"/>
    <n v="37"/>
    <n v="8.5"/>
    <x v="2"/>
    <x v="0"/>
    <n v="119"/>
    <n v="92.4"/>
    <x v="1"/>
    <n v="141.31"/>
    <s v="Below Target"/>
    <m/>
  </r>
  <r>
    <s v="EVTX0086"/>
    <d v="2026-04-01T00:00:00"/>
    <x v="3"/>
    <s v="Delhi"/>
    <x v="6"/>
    <x v="0"/>
    <x v="0"/>
    <s v="Type 2"/>
    <x v="1"/>
    <n v="11"/>
    <n v="70"/>
    <n v="0"/>
    <x v="0"/>
    <x v="1"/>
    <n v="0"/>
    <n v="38.299999999999997"/>
    <x v="2"/>
    <n v="0"/>
    <s v="Target Achieved"/>
    <m/>
  </r>
  <r>
    <s v="EVTX0087"/>
    <d v="2026-01-09T00:00:00"/>
    <x v="3"/>
    <s v="Delhi"/>
    <x v="60"/>
    <x v="2"/>
    <x v="1"/>
    <s v="CHAdeMO"/>
    <x v="1"/>
    <n v="240"/>
    <n v="20"/>
    <n v="58.1"/>
    <x v="0"/>
    <x v="0"/>
    <n v="929.6"/>
    <n v="47.7"/>
    <x v="3"/>
    <n v="1103.9100000000001"/>
    <s v="Below Target"/>
    <m/>
  </r>
  <r>
    <s v="EVTX0088"/>
    <d v="2026-05-09T00:00:00"/>
    <x v="9"/>
    <s v="Tamil Nadu"/>
    <x v="76"/>
    <x v="4"/>
    <x v="2"/>
    <s v="CCS2"/>
    <x v="2"/>
    <n v="60"/>
    <n v="71"/>
    <n v="15.7"/>
    <x v="3"/>
    <x v="0"/>
    <n v="219.8"/>
    <n v="43.9"/>
    <x v="1"/>
    <n v="261.02"/>
    <s v="Below Target"/>
    <m/>
  </r>
  <r>
    <s v="EVTX0089"/>
    <d v="2026-01-24T00:00:00"/>
    <x v="8"/>
    <s v="Haryana"/>
    <x v="77"/>
    <x v="1"/>
    <x v="2"/>
    <s v="CCS2"/>
    <x v="2"/>
    <n v="60"/>
    <n v="63"/>
    <n v="0"/>
    <x v="1"/>
    <x v="2"/>
    <n v="0"/>
    <n v="43.7"/>
    <x v="3"/>
    <n v="0"/>
    <s v="Target Achieved"/>
    <m/>
  </r>
  <r>
    <s v="EVTX0090"/>
    <d v="2026-04-06T00:00:00"/>
    <x v="4"/>
    <s v="Kerala"/>
    <x v="40"/>
    <x v="2"/>
    <x v="0"/>
    <s v="Type 2"/>
    <x v="1"/>
    <n v="7"/>
    <n v="178"/>
    <n v="0"/>
    <x v="0"/>
    <x v="2"/>
    <n v="0"/>
    <n v="24.8"/>
    <x v="2"/>
    <n v="0"/>
    <s v="Target Achieved"/>
    <m/>
  </r>
  <r>
    <s v="EVTX0091"/>
    <d v="2026-04-29T00:00:00"/>
    <x v="1"/>
    <s v="Maharashtra"/>
    <x v="17"/>
    <x v="0"/>
    <x v="1"/>
    <s v="CHAdeMO"/>
    <x v="1"/>
    <n v="180"/>
    <n v="11"/>
    <n v="71.400000000000006"/>
    <x v="3"/>
    <x v="0"/>
    <n v="1285.2"/>
    <n v="97.7"/>
    <x v="2"/>
    <n v="1526.19"/>
    <s v="Below Target"/>
    <m/>
  </r>
  <r>
    <s v="EVTX0092"/>
    <d v="2026-05-18T00:00:00"/>
    <x v="0"/>
    <s v="Telangana"/>
    <x v="14"/>
    <x v="0"/>
    <x v="0"/>
    <s v="Type 2"/>
    <x v="2"/>
    <n v="22"/>
    <n v="173"/>
    <n v="36.1"/>
    <x v="3"/>
    <x v="0"/>
    <n v="577.6"/>
    <n v="90.8"/>
    <x v="1"/>
    <n v="685.91"/>
    <s v="Below Target"/>
    <m/>
  </r>
  <r>
    <s v="EVTX0093"/>
    <d v="2026-03-13T00:00:00"/>
    <x v="7"/>
    <s v="Uttar Pradesh"/>
    <x v="78"/>
    <x v="1"/>
    <x v="0"/>
    <s v="Type 2"/>
    <x v="1"/>
    <n v="11"/>
    <n v="148"/>
    <n v="71.7"/>
    <x v="2"/>
    <x v="0"/>
    <n v="1290.5999999999999"/>
    <n v="41.3"/>
    <x v="0"/>
    <n v="1532.6"/>
    <s v="Below Target"/>
    <m/>
  </r>
  <r>
    <s v="EVTX0094"/>
    <d v="2026-01-16T00:00:00"/>
    <x v="6"/>
    <s v="Gujarat"/>
    <x v="79"/>
    <x v="2"/>
    <x v="2"/>
    <s v="CHAdeMO"/>
    <x v="0"/>
    <n v="30"/>
    <n v="62"/>
    <n v="0"/>
    <x v="1"/>
    <x v="2"/>
    <n v="0"/>
    <n v="19.5"/>
    <x v="3"/>
    <n v="0"/>
    <s v="Target Achieved"/>
    <m/>
  </r>
  <r>
    <s v="EVTX0095"/>
    <d v="2026-03-27T00:00:00"/>
    <x v="2"/>
    <s v="Karnataka"/>
    <x v="80"/>
    <x v="4"/>
    <x v="0"/>
    <s v="Type 2"/>
    <x v="0"/>
    <n v="22"/>
    <n v="88"/>
    <n v="47.3"/>
    <x v="0"/>
    <x v="0"/>
    <n v="756.8"/>
    <n v="55.7"/>
    <x v="0"/>
    <n v="898.71"/>
    <s v="Below Target"/>
    <m/>
  </r>
  <r>
    <s v="EVTX0096"/>
    <d v="2026-03-12T00:00:00"/>
    <x v="4"/>
    <s v="Kerala"/>
    <x v="81"/>
    <x v="4"/>
    <x v="0"/>
    <s v="Type 2"/>
    <x v="0"/>
    <n v="7"/>
    <n v="41"/>
    <n v="16.8"/>
    <x v="2"/>
    <x v="0"/>
    <n v="302.39999999999998"/>
    <n v="84.8"/>
    <x v="0"/>
    <n v="359.1"/>
    <s v="Below Target"/>
    <m/>
  </r>
  <r>
    <s v="EVTX0097"/>
    <d v="2026-01-05T00:00:00"/>
    <x v="4"/>
    <s v="Kerala"/>
    <x v="82"/>
    <x v="1"/>
    <x v="0"/>
    <s v="Type 2"/>
    <x v="2"/>
    <n v="22"/>
    <n v="142"/>
    <n v="43.2"/>
    <x v="1"/>
    <x v="0"/>
    <n v="604.79999999999995"/>
    <n v="65"/>
    <x v="3"/>
    <n v="718.21"/>
    <s v="Below Target"/>
    <m/>
  </r>
  <r>
    <s v="EVTX0098"/>
    <d v="2026-04-26T00:00:00"/>
    <x v="6"/>
    <s v="Gujarat"/>
    <x v="83"/>
    <x v="0"/>
    <x v="1"/>
    <s v="CCS2"/>
    <x v="1"/>
    <n v="240"/>
    <n v="24"/>
    <n v="0"/>
    <x v="1"/>
    <x v="1"/>
    <n v="0"/>
    <n v="39"/>
    <x v="2"/>
    <n v="0"/>
    <s v="Target Achieved"/>
    <m/>
  </r>
  <r>
    <s v="EVTX0099"/>
    <d v="2026-04-13T00:00:00"/>
    <x v="2"/>
    <s v="Karnataka"/>
    <x v="84"/>
    <x v="2"/>
    <x v="2"/>
    <s v="CCS2"/>
    <x v="2"/>
    <n v="30"/>
    <n v="40"/>
    <n v="48.8"/>
    <x v="3"/>
    <x v="0"/>
    <n v="683.2"/>
    <n v="43"/>
    <x v="2"/>
    <n v="811.31"/>
    <s v="Below Target"/>
    <m/>
  </r>
  <r>
    <s v="EVTX0100"/>
    <d v="2026-04-08T00:00:00"/>
    <x v="4"/>
    <s v="Kerala"/>
    <x v="82"/>
    <x v="4"/>
    <x v="1"/>
    <s v="CHAdeMO"/>
    <x v="2"/>
    <n v="150"/>
    <n v="37"/>
    <n v="51.9"/>
    <x v="3"/>
    <x v="0"/>
    <n v="1141.8"/>
    <n v="80.400000000000006"/>
    <x v="2"/>
    <n v="1355.9"/>
    <s v="Below Target"/>
    <m/>
  </r>
  <r>
    <s v="EVTX0101"/>
    <d v="2026-02-28T00:00:00"/>
    <x v="8"/>
    <s v="Haryana"/>
    <x v="85"/>
    <x v="1"/>
    <x v="2"/>
    <s v="CHAdeMO"/>
    <x v="2"/>
    <n v="30"/>
    <n v="40"/>
    <n v="0"/>
    <x v="3"/>
    <x v="2"/>
    <n v="0"/>
    <n v="29.2"/>
    <x v="4"/>
    <n v="0"/>
    <s v="Target Achieved"/>
    <m/>
  </r>
  <r>
    <s v="EVTX0102"/>
    <d v="2026-05-02T00:00:00"/>
    <x v="9"/>
    <s v="Tamil Nadu"/>
    <x v="86"/>
    <x v="2"/>
    <x v="0"/>
    <s v="Type 2"/>
    <x v="0"/>
    <n v="11"/>
    <n v="59"/>
    <n v="57.9"/>
    <x v="1"/>
    <x v="0"/>
    <n v="1042.2"/>
    <n v="86.1"/>
    <x v="1"/>
    <n v="1237.6199999999999"/>
    <s v="Below Target"/>
    <m/>
  </r>
  <r>
    <s v="EVTX0103"/>
    <d v="2026-02-01T00:00:00"/>
    <x v="2"/>
    <s v="Karnataka"/>
    <x v="87"/>
    <x v="4"/>
    <x v="2"/>
    <s v="CHAdeMO"/>
    <x v="1"/>
    <n v="60"/>
    <n v="58"/>
    <n v="28.9"/>
    <x v="3"/>
    <x v="0"/>
    <n v="404.6"/>
    <n v="71.400000000000006"/>
    <x v="4"/>
    <n v="480.47"/>
    <s v="Below Target"/>
    <m/>
  </r>
  <r>
    <s v="EVTX0104"/>
    <d v="2026-02-27T00:00:00"/>
    <x v="5"/>
    <s v="Maharashtra"/>
    <x v="45"/>
    <x v="2"/>
    <x v="0"/>
    <s v="Type 2"/>
    <x v="2"/>
    <n v="11"/>
    <n v="92"/>
    <n v="62.1"/>
    <x v="2"/>
    <x v="0"/>
    <n v="1366.2"/>
    <n v="96.4"/>
    <x v="4"/>
    <n v="1622.38"/>
    <s v="Below Target"/>
    <m/>
  </r>
  <r>
    <s v="EVTX0105"/>
    <d v="2026-03-10T00:00:00"/>
    <x v="4"/>
    <s v="Kerala"/>
    <x v="88"/>
    <x v="3"/>
    <x v="0"/>
    <s v="Type 2"/>
    <x v="0"/>
    <n v="11"/>
    <n v="124"/>
    <n v="8.4"/>
    <x v="2"/>
    <x v="0"/>
    <n v="134.4"/>
    <n v="70.7"/>
    <x v="0"/>
    <n v="159.6"/>
    <s v="Below Target"/>
    <m/>
  </r>
  <r>
    <s v="EVTX0106"/>
    <d v="2026-01-08T00:00:00"/>
    <x v="0"/>
    <s v="Telangana"/>
    <x v="89"/>
    <x v="1"/>
    <x v="0"/>
    <s v="Type 2"/>
    <x v="1"/>
    <n v="11"/>
    <n v="151"/>
    <n v="0"/>
    <x v="0"/>
    <x v="2"/>
    <n v="0"/>
    <n v="25.3"/>
    <x v="3"/>
    <n v="0"/>
    <s v="Target Achieved"/>
    <m/>
  </r>
  <r>
    <s v="EVTX0107"/>
    <d v="2026-05-26T00:00:00"/>
    <x v="3"/>
    <s v="Delhi"/>
    <x v="90"/>
    <x v="3"/>
    <x v="1"/>
    <s v="CCS2"/>
    <x v="0"/>
    <n v="150"/>
    <n v="31"/>
    <n v="13.5"/>
    <x v="0"/>
    <x v="0"/>
    <n v="270"/>
    <n v="76.7"/>
    <x v="1"/>
    <n v="320.63"/>
    <s v="Below Target"/>
    <m/>
  </r>
  <r>
    <s v="EVTX0108"/>
    <d v="2026-04-17T00:00:00"/>
    <x v="4"/>
    <s v="Kerala"/>
    <x v="91"/>
    <x v="1"/>
    <x v="2"/>
    <s v="CCS2"/>
    <x v="1"/>
    <n v="120"/>
    <n v="27"/>
    <n v="27"/>
    <x v="1"/>
    <x v="0"/>
    <n v="594"/>
    <n v="65.7"/>
    <x v="2"/>
    <n v="705.38"/>
    <s v="Below Target"/>
    <m/>
  </r>
  <r>
    <s v="EVTX0109"/>
    <d v="2026-04-12T00:00:00"/>
    <x v="2"/>
    <s v="Karnataka"/>
    <x v="92"/>
    <x v="0"/>
    <x v="1"/>
    <s v="CCS2"/>
    <x v="0"/>
    <n v="180"/>
    <n v="34"/>
    <n v="17.2"/>
    <x v="0"/>
    <x v="0"/>
    <n v="309.60000000000002"/>
    <n v="53.2"/>
    <x v="2"/>
    <n v="367.65"/>
    <s v="Below Target"/>
    <m/>
  </r>
  <r>
    <s v="EVTX0110"/>
    <d v="2026-04-21T00:00:00"/>
    <x v="2"/>
    <s v="Karnataka"/>
    <x v="93"/>
    <x v="1"/>
    <x v="0"/>
    <s v="Type 2"/>
    <x v="0"/>
    <n v="22"/>
    <n v="93"/>
    <n v="0"/>
    <x v="3"/>
    <x v="1"/>
    <n v="0"/>
    <n v="32.5"/>
    <x v="2"/>
    <n v="0"/>
    <s v="Target Achieved"/>
    <m/>
  </r>
  <r>
    <s v="EVTX0111"/>
    <d v="2026-01-11T00:00:00"/>
    <x v="0"/>
    <s v="Telangana"/>
    <x v="94"/>
    <x v="3"/>
    <x v="2"/>
    <s v="CCS2"/>
    <x v="2"/>
    <n v="120"/>
    <n v="56"/>
    <n v="35.1"/>
    <x v="1"/>
    <x v="0"/>
    <n v="702"/>
    <n v="53.2"/>
    <x v="3"/>
    <n v="833.63"/>
    <s v="Below Target"/>
    <m/>
  </r>
  <r>
    <s v="EVTX0112"/>
    <d v="2026-02-13T00:00:00"/>
    <x v="2"/>
    <s v="Karnataka"/>
    <x v="70"/>
    <x v="2"/>
    <x v="1"/>
    <s v="CHAdeMO"/>
    <x v="1"/>
    <n v="350"/>
    <n v="37"/>
    <n v="15.1"/>
    <x v="2"/>
    <x v="0"/>
    <n v="302"/>
    <n v="72.099999999999994"/>
    <x v="4"/>
    <n v="358.63"/>
    <s v="Below Target"/>
    <m/>
  </r>
  <r>
    <s v="EVTX0113"/>
    <d v="2026-03-21T00:00:00"/>
    <x v="0"/>
    <s v="Telangana"/>
    <x v="94"/>
    <x v="1"/>
    <x v="1"/>
    <s v="CHAdeMO"/>
    <x v="0"/>
    <n v="150"/>
    <n v="26"/>
    <n v="50.4"/>
    <x v="2"/>
    <x v="0"/>
    <n v="1108.8"/>
    <n v="67.099999999999994"/>
    <x v="0"/>
    <n v="1316.71"/>
    <s v="Below Target"/>
    <m/>
  </r>
  <r>
    <s v="EVTX0114"/>
    <d v="2026-03-02T00:00:00"/>
    <x v="9"/>
    <s v="Tamil Nadu"/>
    <x v="86"/>
    <x v="3"/>
    <x v="0"/>
    <s v="Type 2"/>
    <x v="0"/>
    <n v="7"/>
    <n v="74"/>
    <n v="58.9"/>
    <x v="2"/>
    <x v="0"/>
    <n v="824.6"/>
    <n v="46.2"/>
    <x v="0"/>
    <n v="979.22"/>
    <s v="Below Target"/>
    <m/>
  </r>
  <r>
    <s v="EVTX0115"/>
    <d v="2026-05-25T00:00:00"/>
    <x v="7"/>
    <s v="Uttar Pradesh"/>
    <x v="51"/>
    <x v="2"/>
    <x v="1"/>
    <s v="CHAdeMO"/>
    <x v="1"/>
    <n v="350"/>
    <n v="12"/>
    <n v="39.4"/>
    <x v="2"/>
    <x v="0"/>
    <n v="709.2"/>
    <n v="85.2"/>
    <x v="1"/>
    <n v="842.18"/>
    <s v="Below Target"/>
    <m/>
  </r>
  <r>
    <s v="EVTX0116"/>
    <d v="2026-05-10T00:00:00"/>
    <x v="2"/>
    <s v="Karnataka"/>
    <x v="95"/>
    <x v="1"/>
    <x v="0"/>
    <s v="Type 2"/>
    <x v="2"/>
    <n v="7"/>
    <n v="49"/>
    <n v="0"/>
    <x v="3"/>
    <x v="2"/>
    <n v="0"/>
    <n v="26.6"/>
    <x v="1"/>
    <n v="0"/>
    <s v="Target Achieved"/>
    <m/>
  </r>
  <r>
    <s v="EVTX0117"/>
    <d v="2026-05-10T00:00:00"/>
    <x v="0"/>
    <s v="Telangana"/>
    <x v="96"/>
    <x v="2"/>
    <x v="2"/>
    <s v="CHAdeMO"/>
    <x v="1"/>
    <n v="50"/>
    <n v="40"/>
    <n v="0"/>
    <x v="1"/>
    <x v="2"/>
    <n v="0"/>
    <n v="37.200000000000003"/>
    <x v="1"/>
    <n v="0"/>
    <s v="Target Achieved"/>
    <m/>
  </r>
  <r>
    <s v="EVTX0118"/>
    <d v="2026-04-26T00:00:00"/>
    <x v="5"/>
    <s v="Maharashtra"/>
    <x v="19"/>
    <x v="3"/>
    <x v="0"/>
    <s v="Type 2"/>
    <x v="2"/>
    <n v="22"/>
    <n v="79"/>
    <n v="0"/>
    <x v="1"/>
    <x v="1"/>
    <n v="0"/>
    <n v="11.8"/>
    <x v="2"/>
    <n v="0"/>
    <s v="Target Achieved"/>
    <m/>
  </r>
  <r>
    <s v="EVTX0119"/>
    <d v="2026-05-14T00:00:00"/>
    <x v="7"/>
    <s v="Uttar Pradesh"/>
    <x v="97"/>
    <x v="1"/>
    <x v="1"/>
    <s v="CCS2"/>
    <x v="2"/>
    <n v="350"/>
    <n v="23"/>
    <n v="59.9"/>
    <x v="2"/>
    <x v="0"/>
    <n v="1317.8"/>
    <n v="38.299999999999997"/>
    <x v="1"/>
    <n v="1564.9"/>
    <s v="Below Target"/>
    <m/>
  </r>
  <r>
    <s v="EVTX0120"/>
    <d v="2026-01-25T00:00:00"/>
    <x v="0"/>
    <s v="Telangana"/>
    <x v="98"/>
    <x v="4"/>
    <x v="1"/>
    <s v="CHAdeMO"/>
    <x v="2"/>
    <n v="180"/>
    <n v="20"/>
    <n v="0"/>
    <x v="2"/>
    <x v="1"/>
    <n v="0"/>
    <n v="13.7"/>
    <x v="3"/>
    <n v="0"/>
    <s v="Target Achieved"/>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BBCFD2F-DD73-4F7D-8342-EDFECE324D85}" name="PivotTable1" cacheId="1"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rowHeaderCaption="Station ID">
  <location ref="A3:B8" firstHeaderRow="1" firstDataRow="1" firstDataCol="1"/>
  <pivotFields count="20">
    <pivotField showAll="0"/>
    <pivotField numFmtId="164" showAll="0"/>
    <pivotField showAll="0">
      <items count="11">
        <item h="1" x="6"/>
        <item x="2"/>
        <item x="9"/>
        <item x="3"/>
        <item h="1" x="8"/>
        <item x="0"/>
        <item h="1" x="4"/>
        <item x="5"/>
        <item h="1" x="7"/>
        <item x="1"/>
        <item t="default"/>
      </items>
    </pivotField>
    <pivotField showAll="0"/>
    <pivotField axis="axisRow" showAll="0" measureFilter="1" sortType="descending">
      <items count="100">
        <item x="44"/>
        <item x="83"/>
        <item x="11"/>
        <item x="32"/>
        <item x="79"/>
        <item x="27"/>
        <item x="24"/>
        <item x="69"/>
        <item x="80"/>
        <item x="2"/>
        <item x="92"/>
        <item x="55"/>
        <item x="70"/>
        <item x="87"/>
        <item x="95"/>
        <item x="66"/>
        <item x="21"/>
        <item x="84"/>
        <item x="93"/>
        <item x="74"/>
        <item x="71"/>
        <item x="53"/>
        <item x="86"/>
        <item x="43"/>
        <item x="29"/>
        <item x="72"/>
        <item x="52"/>
        <item x="30"/>
        <item x="76"/>
        <item x="50"/>
        <item x="3"/>
        <item x="23"/>
        <item x="65"/>
        <item x="62"/>
        <item x="6"/>
        <item x="12"/>
        <item x="90"/>
        <item x="10"/>
        <item x="60"/>
        <item x="28"/>
        <item x="31"/>
        <item x="77"/>
        <item x="39"/>
        <item x="85"/>
        <item x="67"/>
        <item x="63"/>
        <item x="64"/>
        <item x="0"/>
        <item x="15"/>
        <item x="96"/>
        <item x="89"/>
        <item x="14"/>
        <item x="68"/>
        <item x="38"/>
        <item x="46"/>
        <item x="98"/>
        <item x="94"/>
        <item x="47"/>
        <item x="81"/>
        <item x="88"/>
        <item x="9"/>
        <item x="26"/>
        <item x="4"/>
        <item x="41"/>
        <item x="61"/>
        <item x="54"/>
        <item x="82"/>
        <item x="40"/>
        <item x="8"/>
        <item x="91"/>
        <item x="16"/>
        <item x="48"/>
        <item x="19"/>
        <item x="75"/>
        <item x="56"/>
        <item x="33"/>
        <item x="5"/>
        <item x="25"/>
        <item x="42"/>
        <item x="45"/>
        <item x="18"/>
        <item x="13"/>
        <item x="49"/>
        <item x="78"/>
        <item x="51"/>
        <item x="97"/>
        <item x="20"/>
        <item x="17"/>
        <item x="73"/>
        <item x="37"/>
        <item x="35"/>
        <item x="1"/>
        <item x="58"/>
        <item x="22"/>
        <item x="36"/>
        <item x="59"/>
        <item x="7"/>
        <item x="34"/>
        <item x="57"/>
        <item t="default"/>
      </items>
      <autoSortScope>
        <pivotArea dataOnly="0" outline="0" fieldPosition="0">
          <references count="1">
            <reference field="4294967294" count="1" selected="0">
              <x v="0"/>
            </reference>
          </references>
        </pivotArea>
      </autoSortScope>
    </pivotField>
    <pivotField showAll="0" measureFilter="1" sortType="descending">
      <items count="6">
        <item h="1" x="4"/>
        <item x="1"/>
        <item x="3"/>
        <item h="1" x="0"/>
        <item h="1" x="2"/>
        <item t="default"/>
      </items>
      <autoSortScope>
        <pivotArea dataOnly="0" outline="0" fieldPosition="0">
          <references count="1">
            <reference field="4294967294" count="1" selected="0">
              <x v="0"/>
            </reference>
          </references>
        </pivotArea>
      </autoSortScope>
    </pivotField>
    <pivotField showAll="0">
      <items count="4">
        <item x="0"/>
        <item x="2"/>
        <item x="1"/>
        <item t="default"/>
      </items>
    </pivotField>
    <pivotField showAll="0"/>
    <pivotField showAll="0">
      <items count="4">
        <item x="1"/>
        <item x="0"/>
        <item x="2"/>
        <item t="default"/>
      </items>
    </pivotField>
    <pivotField showAll="0"/>
    <pivotField showAll="0"/>
    <pivotField showAll="0"/>
    <pivotField showAll="0">
      <items count="5">
        <item x="3"/>
        <item x="0"/>
        <item x="1"/>
        <item x="2"/>
        <item t="default"/>
      </items>
    </pivotField>
    <pivotField showAll="0"/>
    <pivotField dataField="1" showAll="0"/>
    <pivotField showAll="0"/>
    <pivotField showAll="0"/>
    <pivotField showAll="0"/>
    <pivotField showAll="0"/>
    <pivotField showAll="0"/>
  </pivotFields>
  <rowFields count="1">
    <field x="4"/>
  </rowFields>
  <rowItems count="5">
    <i>
      <x v="56"/>
    </i>
    <i>
      <x v="37"/>
    </i>
    <i>
      <x v="77"/>
    </i>
    <i>
      <x v="78"/>
    </i>
    <i>
      <x v="75"/>
    </i>
  </rowItems>
  <colItems count="1">
    <i/>
  </colItems>
  <dataFields count="1">
    <dataField name=" Revenue (₹)" fld="14" baseField="5" baseItem="2"/>
  </dataFields>
  <formats count="8">
    <format dxfId="192">
      <pivotArea collapsedLevelsAreSubtotals="1" fieldPosition="0">
        <references count="1">
          <reference field="4" count="5">
            <x v="22"/>
            <x v="56"/>
            <x v="66"/>
            <x v="79"/>
            <x v="87"/>
          </reference>
        </references>
      </pivotArea>
    </format>
    <format dxfId="191">
      <pivotArea type="all" dataOnly="0" outline="0" fieldPosition="0"/>
    </format>
    <format dxfId="190">
      <pivotArea outline="0" collapsedLevelsAreSubtotals="1" fieldPosition="0"/>
    </format>
    <format dxfId="189">
      <pivotArea field="4" type="button" dataOnly="0" labelOnly="1" outline="0" axis="axisRow" fieldPosition="0"/>
    </format>
    <format dxfId="188">
      <pivotArea dataOnly="0" labelOnly="1" fieldPosition="0">
        <references count="1">
          <reference field="4" count="5">
            <x v="22"/>
            <x v="56"/>
            <x v="66"/>
            <x v="79"/>
            <x v="87"/>
          </reference>
        </references>
      </pivotArea>
    </format>
    <format dxfId="187">
      <pivotArea dataOnly="0" labelOnly="1" outline="0" axis="axisValues" fieldPosition="0"/>
    </format>
    <format dxfId="186">
      <pivotArea dataOnly="0" labelOnly="1" outline="0" axis="axisValues" fieldPosition="0"/>
    </format>
    <format dxfId="185">
      <pivotArea field="4" type="button" dataOnly="0" labelOnly="1" outline="0" axis="axisRow" fieldPosition="0"/>
    </format>
  </formats>
  <pivotTableStyleInfo name="PivotStyleLight20" showRowHeaders="0" showColHeaders="0" showRowStripes="0" showColStripes="0" showLastColumn="1"/>
  <filters count="2">
    <filter fld="4" type="count" evalOrder="-1" id="3" iMeasureFld="0">
      <autoFilter ref="A1">
        <filterColumn colId="0">
          <top10 val="5" filterVal="5"/>
        </filterColumn>
      </autoFilter>
    </filter>
    <filter fld="5"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8BB8E20-E8F7-4D4C-BC7C-CCC75383B051}"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9:B53" firstHeaderRow="1" firstDataRow="1" firstDataCol="1"/>
  <pivotFields count="20">
    <pivotField showAll="0"/>
    <pivotField numFmtId="164" showAll="0"/>
    <pivotField showAll="0">
      <items count="11">
        <item h="1" x="6"/>
        <item x="2"/>
        <item x="9"/>
        <item x="3"/>
        <item h="1" x="8"/>
        <item x="0"/>
        <item h="1" x="4"/>
        <item x="5"/>
        <item h="1" x="7"/>
        <item x="1"/>
        <item t="default"/>
      </items>
    </pivotField>
    <pivotField showAll="0"/>
    <pivotField showAll="0"/>
    <pivotField showAll="0">
      <items count="6">
        <item h="1" x="4"/>
        <item x="1"/>
        <item x="3"/>
        <item h="1" x="0"/>
        <item h="1" x="2"/>
        <item t="default"/>
      </items>
    </pivotField>
    <pivotField showAll="0">
      <items count="4">
        <item x="0"/>
        <item x="2"/>
        <item x="1"/>
        <item t="default"/>
      </items>
    </pivotField>
    <pivotField showAll="0"/>
    <pivotField axis="axisRow" showAll="0">
      <items count="4">
        <item x="1"/>
        <item x="0"/>
        <item x="2"/>
        <item t="default"/>
      </items>
    </pivotField>
    <pivotField showAll="0"/>
    <pivotField showAll="0"/>
    <pivotField showAll="0"/>
    <pivotField showAll="0">
      <items count="5">
        <item x="3"/>
        <item x="0"/>
        <item x="1"/>
        <item x="2"/>
        <item t="default"/>
      </items>
    </pivotField>
    <pivotField showAll="0"/>
    <pivotField dataField="1" showAll="0"/>
    <pivotField showAll="0"/>
    <pivotField showAll="0"/>
    <pivotField showAll="0"/>
    <pivotField showAll="0"/>
    <pivotField showAll="0"/>
  </pivotFields>
  <rowFields count="1">
    <field x="8"/>
  </rowFields>
  <rowItems count="4">
    <i>
      <x/>
    </i>
    <i>
      <x v="1"/>
    </i>
    <i>
      <x v="2"/>
    </i>
    <i t="grand">
      <x/>
    </i>
  </rowItems>
  <colItems count="1">
    <i/>
  </colItems>
  <dataFields count="1">
    <dataField name="Sum of Revenue (₹)"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338F082-C6EC-4272-AC8E-8238F669D1DC}"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G3:H8" firstHeaderRow="1" firstDataRow="1" firstDataCol="1"/>
  <pivotFields count="20">
    <pivotField showAll="0"/>
    <pivotField numFmtId="164" showAll="0"/>
    <pivotField showAll="0">
      <items count="11">
        <item h="1" x="6"/>
        <item x="2"/>
        <item x="9"/>
        <item x="3"/>
        <item h="1" x="8"/>
        <item x="0"/>
        <item h="1" x="4"/>
        <item x="5"/>
        <item h="1" x="7"/>
        <item x="1"/>
        <item t="default"/>
      </items>
    </pivotField>
    <pivotField showAll="0"/>
    <pivotField showAll="0"/>
    <pivotField showAll="0">
      <items count="6">
        <item h="1" x="4"/>
        <item x="1"/>
        <item x="3"/>
        <item h="1" x="0"/>
        <item h="1" x="2"/>
        <item t="default"/>
      </items>
    </pivotField>
    <pivotField showAll="0">
      <items count="4">
        <item x="0"/>
        <item x="2"/>
        <item x="1"/>
        <item t="default"/>
      </items>
    </pivotField>
    <pivotField showAll="0"/>
    <pivotField showAll="0">
      <items count="4">
        <item x="1"/>
        <item x="0"/>
        <item x="2"/>
        <item t="default"/>
      </items>
    </pivotField>
    <pivotField showAll="0"/>
    <pivotField showAll="0"/>
    <pivotField showAll="0"/>
    <pivotField axis="axisRow" showAll="0">
      <items count="5">
        <item x="3"/>
        <item x="0"/>
        <item x="1"/>
        <item x="2"/>
        <item t="default"/>
      </items>
    </pivotField>
    <pivotField showAll="0"/>
    <pivotField dataField="1" showAll="0"/>
    <pivotField showAll="0"/>
    <pivotField showAll="0"/>
    <pivotField showAll="0"/>
    <pivotField showAll="0"/>
    <pivotField showAll="0"/>
  </pivotFields>
  <rowFields count="1">
    <field x="12"/>
  </rowFields>
  <rowItems count="5">
    <i>
      <x/>
    </i>
    <i>
      <x v="1"/>
    </i>
    <i>
      <x v="2"/>
    </i>
    <i>
      <x v="3"/>
    </i>
    <i t="grand">
      <x/>
    </i>
  </rowItems>
  <colItems count="1">
    <i/>
  </colItems>
  <dataFields count="1">
    <dataField name="Sum of Revenue (₹)" fld="14" baseField="0" baseItem="0"/>
  </dataFields>
  <chartFormats count="2">
    <chartFormat chart="0" format="0"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8619075-E756-47BB-B81B-E2795DCC127B}"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1:B46" firstHeaderRow="1" firstDataRow="1" firstDataCol="1"/>
  <pivotFields count="20">
    <pivotField showAll="0"/>
    <pivotField numFmtId="164" showAll="0"/>
    <pivotField showAll="0">
      <items count="11">
        <item h="1" x="6"/>
        <item x="2"/>
        <item x="9"/>
        <item x="3"/>
        <item h="1" x="8"/>
        <item x="0"/>
        <item h="1" x="4"/>
        <item x="5"/>
        <item h="1" x="7"/>
        <item x="1"/>
        <item t="default"/>
      </items>
    </pivotField>
    <pivotField showAll="0"/>
    <pivotField showAll="0"/>
    <pivotField showAll="0">
      <items count="6">
        <item h="1" x="4"/>
        <item x="1"/>
        <item x="3"/>
        <item h="1" x="0"/>
        <item h="1" x="2"/>
        <item t="default"/>
      </items>
    </pivotField>
    <pivotField showAll="0">
      <items count="4">
        <item x="0"/>
        <item x="2"/>
        <item x="1"/>
        <item t="default"/>
      </items>
    </pivotField>
    <pivotField showAll="0"/>
    <pivotField showAll="0">
      <items count="4">
        <item x="1"/>
        <item x="0"/>
        <item x="2"/>
        <item t="default"/>
      </items>
    </pivotField>
    <pivotField showAll="0"/>
    <pivotField showAll="0"/>
    <pivotField showAll="0"/>
    <pivotField axis="axisRow" showAll="0">
      <items count="5">
        <item x="3"/>
        <item x="0"/>
        <item x="1"/>
        <item x="2"/>
        <item t="default"/>
      </items>
    </pivotField>
    <pivotField showAll="0"/>
    <pivotField dataField="1" showAll="0"/>
    <pivotField showAll="0"/>
    <pivotField showAll="0"/>
    <pivotField showAll="0"/>
    <pivotField showAll="0"/>
    <pivotField showAll="0"/>
  </pivotFields>
  <rowFields count="1">
    <field x="12"/>
  </rowFields>
  <rowItems count="5">
    <i>
      <x/>
    </i>
    <i>
      <x v="1"/>
    </i>
    <i>
      <x v="2"/>
    </i>
    <i>
      <x v="3"/>
    </i>
    <i t="grand">
      <x/>
    </i>
  </rowItems>
  <colItems count="1">
    <i/>
  </colItems>
  <dataFields count="1">
    <dataField name="Sum of Revenue (₹)"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4F01015-E8DD-4BCE-AF8B-885211CB97EE}" name="PivotTable4"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0">
  <location ref="D4:E10" firstHeaderRow="1" firstDataRow="1" firstDataCol="1"/>
  <pivotFields count="20">
    <pivotField showAll="0"/>
    <pivotField numFmtId="164" showAll="0"/>
    <pivotField showAll="0">
      <items count="11">
        <item h="1" x="6"/>
        <item x="2"/>
        <item x="9"/>
        <item x="3"/>
        <item h="1" x="8"/>
        <item x="0"/>
        <item h="1" x="4"/>
        <item x="5"/>
        <item h="1" x="7"/>
        <item x="1"/>
        <item t="default"/>
      </items>
    </pivotField>
    <pivotField showAll="0"/>
    <pivotField showAll="0" measureFilter="1"/>
    <pivotField showAll="0" measureFilter="1" sortType="descending">
      <items count="6">
        <item h="1" x="4"/>
        <item x="1"/>
        <item x="3"/>
        <item h="1" x="0"/>
        <item h="1" x="2"/>
        <item t="default"/>
      </items>
      <autoSortScope>
        <pivotArea dataOnly="0" outline="0" fieldPosition="0">
          <references count="1">
            <reference field="4294967294" count="1" selected="0">
              <x v="0"/>
            </reference>
          </references>
        </pivotArea>
      </autoSortScope>
    </pivotField>
    <pivotField showAll="0">
      <items count="4">
        <item x="0"/>
        <item x="2"/>
        <item x="1"/>
        <item t="default"/>
      </items>
    </pivotField>
    <pivotField showAll="0"/>
    <pivotField showAll="0">
      <items count="4">
        <item x="1"/>
        <item x="0"/>
        <item x="2"/>
        <item t="default"/>
      </items>
    </pivotField>
    <pivotField showAll="0"/>
    <pivotField showAll="0"/>
    <pivotField showAll="0"/>
    <pivotField showAll="0">
      <items count="5">
        <item x="3"/>
        <item x="0"/>
        <item x="1"/>
        <item x="2"/>
        <item t="default"/>
      </items>
    </pivotField>
    <pivotField showAll="0"/>
    <pivotField dataField="1" showAll="0"/>
    <pivotField showAll="0"/>
    <pivotField axis="axisRow" showAll="0">
      <items count="6">
        <item x="3"/>
        <item x="4"/>
        <item x="0"/>
        <item x="2"/>
        <item x="1"/>
        <item t="default"/>
      </items>
    </pivotField>
    <pivotField showAll="0"/>
    <pivotField showAll="0"/>
    <pivotField showAll="0"/>
  </pivotFields>
  <rowFields count="1">
    <field x="16"/>
  </rowFields>
  <rowItems count="6">
    <i>
      <x/>
    </i>
    <i>
      <x v="1"/>
    </i>
    <i>
      <x v="2"/>
    </i>
    <i>
      <x v="3"/>
    </i>
    <i>
      <x v="4"/>
    </i>
    <i t="grand">
      <x/>
    </i>
  </rowItems>
  <colItems count="1">
    <i/>
  </colItems>
  <dataFields count="1">
    <dataField name="Sum of Revenue (₹)" fld="14" baseField="5" baseItem="2"/>
  </dataFields>
  <chartFormats count="2">
    <chartFormat chart="0"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4" type="count" evalOrder="-1" id="1" iMeasureFld="0">
      <autoFilter ref="A1">
        <filterColumn colId="0">
          <top10 val="5" filterVal="5"/>
        </filterColumn>
      </autoFilter>
    </filter>
    <filter fld="5"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65EE299-DC68-44E0-BE7F-E3D7424905F9}"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G11:H15" firstHeaderRow="1" firstDataRow="1" firstDataCol="1"/>
  <pivotFields count="20">
    <pivotField showAll="0"/>
    <pivotField numFmtId="164" showAll="0"/>
    <pivotField showAll="0">
      <items count="11">
        <item h="1" x="6"/>
        <item x="2"/>
        <item x="9"/>
        <item x="3"/>
        <item h="1" x="8"/>
        <item x="0"/>
        <item h="1" x="4"/>
        <item x="5"/>
        <item h="1" x="7"/>
        <item x="1"/>
        <item t="default"/>
      </items>
    </pivotField>
    <pivotField showAll="0"/>
    <pivotField showAll="0"/>
    <pivotField showAll="0">
      <items count="6">
        <item h="1" x="4"/>
        <item x="1"/>
        <item x="3"/>
        <item h="1" x="0"/>
        <item h="1" x="2"/>
        <item t="default"/>
      </items>
    </pivotField>
    <pivotField showAll="0">
      <items count="4">
        <item x="0"/>
        <item x="2"/>
        <item x="1"/>
        <item t="default"/>
      </items>
    </pivotField>
    <pivotField showAll="0"/>
    <pivotField axis="axisRow" showAll="0">
      <items count="4">
        <item x="1"/>
        <item x="0"/>
        <item x="2"/>
        <item t="default"/>
      </items>
    </pivotField>
    <pivotField showAll="0"/>
    <pivotField showAll="0"/>
    <pivotField showAll="0"/>
    <pivotField showAll="0">
      <items count="5">
        <item x="3"/>
        <item x="0"/>
        <item x="1"/>
        <item x="2"/>
        <item t="default"/>
      </items>
    </pivotField>
    <pivotField showAll="0"/>
    <pivotField dataField="1" showAll="0"/>
    <pivotField showAll="0"/>
    <pivotField showAll="0"/>
    <pivotField showAll="0"/>
    <pivotField showAll="0"/>
    <pivotField showAll="0"/>
  </pivotFields>
  <rowFields count="1">
    <field x="8"/>
  </rowFields>
  <rowItems count="4">
    <i>
      <x/>
    </i>
    <i>
      <x v="1"/>
    </i>
    <i>
      <x v="2"/>
    </i>
    <i t="grand">
      <x/>
    </i>
  </rowItems>
  <colItems count="1">
    <i/>
  </colItems>
  <dataFields count="1">
    <dataField name="Sum of Revenue (₹)" fld="14" baseField="0" baseItem="0"/>
  </dataFields>
  <chartFormats count="2">
    <chartFormat chart="0" format="0"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E3118F0-8FF4-4A6B-BEA5-F78235C3DD61}"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D19:E23" firstHeaderRow="1" firstDataRow="1" firstDataCol="1"/>
  <pivotFields count="20">
    <pivotField dataField="1" showAll="0"/>
    <pivotField numFmtId="164" showAll="0"/>
    <pivotField showAll="0">
      <items count="11">
        <item h="1" x="6"/>
        <item x="2"/>
        <item x="9"/>
        <item x="3"/>
        <item h="1" x="8"/>
        <item x="0"/>
        <item h="1" x="4"/>
        <item x="5"/>
        <item h="1" x="7"/>
        <item x="1"/>
        <item t="default"/>
      </items>
    </pivotField>
    <pivotField showAll="0"/>
    <pivotField showAll="0"/>
    <pivotField showAll="0">
      <items count="6">
        <item h="1" x="4"/>
        <item x="1"/>
        <item x="3"/>
        <item h="1" x="0"/>
        <item h="1" x="2"/>
        <item t="default"/>
      </items>
    </pivotField>
    <pivotField showAll="0">
      <items count="4">
        <item x="0"/>
        <item x="2"/>
        <item x="1"/>
        <item t="default"/>
      </items>
    </pivotField>
    <pivotField showAll="0"/>
    <pivotField showAll="0">
      <items count="4">
        <item x="1"/>
        <item x="0"/>
        <item x="2"/>
        <item t="default"/>
      </items>
    </pivotField>
    <pivotField showAll="0"/>
    <pivotField showAll="0"/>
    <pivotField showAll="0"/>
    <pivotField showAll="0">
      <items count="5">
        <item x="3"/>
        <item x="0"/>
        <item x="1"/>
        <item x="2"/>
        <item t="default"/>
      </items>
    </pivotField>
    <pivotField axis="axisRow" showAll="0">
      <items count="4">
        <item x="2"/>
        <item x="0"/>
        <item x="1"/>
        <item t="default"/>
      </items>
    </pivotField>
    <pivotField showAll="0"/>
    <pivotField showAll="0"/>
    <pivotField showAll="0"/>
    <pivotField showAll="0"/>
    <pivotField showAll="0"/>
    <pivotField showAll="0"/>
  </pivotFields>
  <rowFields count="1">
    <field x="13"/>
  </rowFields>
  <rowItems count="4">
    <i>
      <x/>
    </i>
    <i>
      <x v="1"/>
    </i>
    <i>
      <x v="2"/>
    </i>
    <i t="grand">
      <x/>
    </i>
  </rowItems>
  <colItems count="1">
    <i/>
  </colItems>
  <dataFields count="1">
    <dataField name="Count of Session ID" fld="0" subtotal="count" baseField="0" baseItem="0"/>
  </dataFields>
  <chartFormats count="2">
    <chartFormat chart="0"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457215F-1584-488C-B480-2DA93D9A0954}"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D33:E40" firstHeaderRow="1" firstDataRow="1" firstDataCol="1"/>
  <pivotFields count="20">
    <pivotField showAll="0"/>
    <pivotField numFmtId="164" showAll="0"/>
    <pivotField axis="axisRow" showAll="0">
      <items count="11">
        <item h="1" x="6"/>
        <item x="2"/>
        <item x="9"/>
        <item x="3"/>
        <item h="1" x="8"/>
        <item x="0"/>
        <item h="1" x="4"/>
        <item x="5"/>
        <item h="1" x="7"/>
        <item x="1"/>
        <item t="default"/>
      </items>
    </pivotField>
    <pivotField showAll="0"/>
    <pivotField showAll="0" measureFilter="1"/>
    <pivotField showAll="0">
      <items count="6">
        <item h="1" x="4"/>
        <item x="1"/>
        <item x="3"/>
        <item h="1" x="0"/>
        <item h="1" x="2"/>
        <item t="default"/>
      </items>
    </pivotField>
    <pivotField showAll="0">
      <items count="4">
        <item x="0"/>
        <item x="2"/>
        <item x="1"/>
        <item t="default"/>
      </items>
    </pivotField>
    <pivotField showAll="0"/>
    <pivotField showAll="0">
      <items count="4">
        <item x="1"/>
        <item x="0"/>
        <item x="2"/>
        <item t="default"/>
      </items>
    </pivotField>
    <pivotField showAll="0"/>
    <pivotField showAll="0"/>
    <pivotField showAll="0"/>
    <pivotField showAll="0">
      <items count="5">
        <item x="3"/>
        <item x="0"/>
        <item x="1"/>
        <item x="2"/>
        <item t="default"/>
      </items>
    </pivotField>
    <pivotField showAll="0"/>
    <pivotField dataField="1" showAll="0"/>
    <pivotField showAll="0"/>
    <pivotField showAll="0"/>
    <pivotField showAll="0"/>
    <pivotField showAll="0"/>
    <pivotField showAll="0"/>
  </pivotFields>
  <rowFields count="1">
    <field x="2"/>
  </rowFields>
  <rowItems count="7">
    <i>
      <x v="1"/>
    </i>
    <i>
      <x v="2"/>
    </i>
    <i>
      <x v="3"/>
    </i>
    <i>
      <x v="5"/>
    </i>
    <i>
      <x v="7"/>
    </i>
    <i>
      <x v="9"/>
    </i>
    <i t="grand">
      <x/>
    </i>
  </rowItems>
  <colItems count="1">
    <i/>
  </colItems>
  <dataFields count="1">
    <dataField name="Sum of Revenue (₹)" fld="14" baseField="0" baseItem="0"/>
  </dataFields>
  <chartFormats count="4">
    <chartFormat chart="0"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66E9754-3604-45CE-B23C-556AE963A713}"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D13:E17" firstHeaderRow="1" firstDataRow="1" firstDataCol="1"/>
  <pivotFields count="20">
    <pivotField showAll="0"/>
    <pivotField numFmtId="164" showAll="0"/>
    <pivotField showAll="0">
      <items count="11">
        <item h="1" x="6"/>
        <item x="2"/>
        <item x="9"/>
        <item x="3"/>
        <item h="1" x="8"/>
        <item x="0"/>
        <item h="1" x="4"/>
        <item x="5"/>
        <item h="1" x="7"/>
        <item x="1"/>
        <item t="default"/>
      </items>
    </pivotField>
    <pivotField showAll="0"/>
    <pivotField showAll="0"/>
    <pivotField showAll="0">
      <items count="6">
        <item h="1" x="4"/>
        <item x="1"/>
        <item x="3"/>
        <item h="1" x="0"/>
        <item h="1" x="2"/>
        <item t="default"/>
      </items>
    </pivotField>
    <pivotField axis="axisRow" showAll="0">
      <items count="4">
        <item x="0"/>
        <item x="2"/>
        <item x="1"/>
        <item t="default"/>
      </items>
    </pivotField>
    <pivotField showAll="0"/>
    <pivotField showAll="0">
      <items count="4">
        <item x="1"/>
        <item x="0"/>
        <item x="2"/>
        <item t="default"/>
      </items>
    </pivotField>
    <pivotField showAll="0"/>
    <pivotField showAll="0"/>
    <pivotField dataField="1" showAll="0"/>
    <pivotField showAll="0">
      <items count="5">
        <item x="3"/>
        <item x="0"/>
        <item x="1"/>
        <item x="2"/>
        <item t="default"/>
      </items>
    </pivotField>
    <pivotField showAll="0"/>
    <pivotField showAll="0"/>
    <pivotField showAll="0"/>
    <pivotField showAll="0"/>
    <pivotField showAll="0"/>
    <pivotField showAll="0"/>
    <pivotField showAll="0"/>
  </pivotFields>
  <rowFields count="1">
    <field x="6"/>
  </rowFields>
  <rowItems count="4">
    <i>
      <x/>
    </i>
    <i>
      <x v="1"/>
    </i>
    <i>
      <x v="2"/>
    </i>
    <i t="grand">
      <x/>
    </i>
  </rowItems>
  <colItems count="1">
    <i/>
  </colItems>
  <dataFields count="1">
    <dataField name="Sum of Energy Delivered (kWh)" fld="11" baseField="0" baseItem="0"/>
  </dataFields>
  <chartFormats count="5">
    <chartFormat chart="0" format="0" series="1">
      <pivotArea type="data" outline="0" fieldPosition="0">
        <references count="1">
          <reference field="4294967294" count="1" selected="0">
            <x v="0"/>
          </reference>
        </references>
      </pivotArea>
    </chartFormat>
    <chartFormat chart="7" format="13" series="1">
      <pivotArea type="data" outline="0" fieldPosition="0">
        <references count="1">
          <reference field="4294967294" count="1" selected="0">
            <x v="0"/>
          </reference>
        </references>
      </pivotArea>
    </chartFormat>
    <chartFormat chart="7" format="14">
      <pivotArea type="data" outline="0" fieldPosition="0">
        <references count="2">
          <reference field="4294967294" count="1" selected="0">
            <x v="0"/>
          </reference>
          <reference field="6" count="1" selected="0">
            <x v="0"/>
          </reference>
        </references>
      </pivotArea>
    </chartFormat>
    <chartFormat chart="7" format="15">
      <pivotArea type="data" outline="0" fieldPosition="0">
        <references count="2">
          <reference field="4294967294" count="1" selected="0">
            <x v="0"/>
          </reference>
          <reference field="6" count="1" selected="0">
            <x v="1"/>
          </reference>
        </references>
      </pivotArea>
    </chartFormat>
    <chartFormat chart="7" format="16">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83B05CF-8051-4957-BB96-ABC01040507C}"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2:B19" firstHeaderRow="1" firstDataRow="1" firstDataCol="1"/>
  <pivotFields count="20">
    <pivotField showAll="0"/>
    <pivotField numFmtId="164" showAll="0"/>
    <pivotField axis="axisRow" showAll="0">
      <items count="11">
        <item h="1" x="6"/>
        <item x="2"/>
        <item x="9"/>
        <item x="3"/>
        <item h="1" x="8"/>
        <item x="0"/>
        <item h="1" x="4"/>
        <item x="5"/>
        <item h="1" x="7"/>
        <item x="1"/>
        <item t="default"/>
      </items>
    </pivotField>
    <pivotField showAll="0"/>
    <pivotField showAll="0" measureFilter="1"/>
    <pivotField showAll="0">
      <items count="6">
        <item h="1" x="4"/>
        <item x="1"/>
        <item x="3"/>
        <item h="1" x="0"/>
        <item h="1" x="2"/>
        <item t="default"/>
      </items>
    </pivotField>
    <pivotField showAll="0">
      <items count="4">
        <item x="0"/>
        <item x="2"/>
        <item x="1"/>
        <item t="default"/>
      </items>
    </pivotField>
    <pivotField showAll="0"/>
    <pivotField showAll="0">
      <items count="4">
        <item x="1"/>
        <item x="0"/>
        <item x="2"/>
        <item t="default"/>
      </items>
    </pivotField>
    <pivotField showAll="0"/>
    <pivotField showAll="0"/>
    <pivotField showAll="0"/>
    <pivotField showAll="0">
      <items count="5">
        <item x="3"/>
        <item x="0"/>
        <item x="1"/>
        <item x="2"/>
        <item t="default"/>
      </items>
    </pivotField>
    <pivotField showAll="0"/>
    <pivotField dataField="1" showAll="0"/>
    <pivotField showAll="0"/>
    <pivotField showAll="0"/>
    <pivotField showAll="0"/>
    <pivotField showAll="0"/>
    <pivotField showAll="0"/>
  </pivotFields>
  <rowFields count="1">
    <field x="2"/>
  </rowFields>
  <rowItems count="7">
    <i>
      <x v="1"/>
    </i>
    <i>
      <x v="2"/>
    </i>
    <i>
      <x v="3"/>
    </i>
    <i>
      <x v="5"/>
    </i>
    <i>
      <x v="7"/>
    </i>
    <i>
      <x v="9"/>
    </i>
    <i t="grand">
      <x/>
    </i>
  </rowItems>
  <colItems count="1">
    <i/>
  </colItems>
  <dataFields count="1">
    <dataField name="Sum of Revenue (₹)" fld="14" baseField="0" baseItem="0"/>
  </dataFields>
  <chartFormats count="4">
    <chartFormat chart="0"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E821357-F565-4A42-8FD1-5DE2E7124D8A}" name="PivotTable12" cacheId="1" applyNumberFormats="0" applyBorderFormats="0" applyFontFormats="0" applyPatternFormats="0" applyAlignmentFormats="0" applyWidthHeightFormats="1" dataCaption="Values" updatedVersion="8" minRefreshableVersion="3" itemPrintTitles="1" createdVersion="8" indent="0" outline="1" outlineData="1">
  <location ref="G19:H33" firstHeaderRow="1" firstDataRow="1" firstDataCol="1"/>
  <pivotFields count="20">
    <pivotField showAll="0"/>
    <pivotField numFmtId="164" showAll="0"/>
    <pivotField showAll="0">
      <items count="11">
        <item h="1" x="6"/>
        <item x="2"/>
        <item x="9"/>
        <item x="3"/>
        <item h="1" x="8"/>
        <item x="0"/>
        <item h="1" x="4"/>
        <item x="5"/>
        <item h="1" x="7"/>
        <item x="1"/>
        <item t="default"/>
      </items>
    </pivotField>
    <pivotField showAll="0"/>
    <pivotField axis="axisRow" showAll="0" measureFilter="1" sortType="ascending">
      <items count="100">
        <item x="44"/>
        <item x="83"/>
        <item x="11"/>
        <item x="32"/>
        <item x="79"/>
        <item x="27"/>
        <item x="24"/>
        <item x="69"/>
        <item x="80"/>
        <item x="2"/>
        <item x="92"/>
        <item x="55"/>
        <item x="70"/>
        <item x="87"/>
        <item x="95"/>
        <item x="66"/>
        <item x="21"/>
        <item x="84"/>
        <item x="93"/>
        <item x="74"/>
        <item x="71"/>
        <item x="53"/>
        <item x="86"/>
        <item x="43"/>
        <item x="29"/>
        <item x="72"/>
        <item x="52"/>
        <item x="30"/>
        <item x="76"/>
        <item x="50"/>
        <item x="3"/>
        <item x="23"/>
        <item x="65"/>
        <item x="62"/>
        <item x="6"/>
        <item x="12"/>
        <item x="90"/>
        <item x="10"/>
        <item x="60"/>
        <item x="28"/>
        <item x="31"/>
        <item x="77"/>
        <item x="39"/>
        <item x="85"/>
        <item x="67"/>
        <item x="63"/>
        <item x="64"/>
        <item x="0"/>
        <item x="15"/>
        <item x="96"/>
        <item x="89"/>
        <item x="14"/>
        <item x="68"/>
        <item x="38"/>
        <item x="46"/>
        <item x="98"/>
        <item x="94"/>
        <item x="47"/>
        <item x="81"/>
        <item x="88"/>
        <item x="9"/>
        <item x="26"/>
        <item x="4"/>
        <item x="41"/>
        <item x="61"/>
        <item x="54"/>
        <item x="82"/>
        <item x="40"/>
        <item x="8"/>
        <item x="91"/>
        <item x="16"/>
        <item x="48"/>
        <item x="19"/>
        <item x="75"/>
        <item x="56"/>
        <item x="33"/>
        <item x="5"/>
        <item x="25"/>
        <item x="42"/>
        <item x="45"/>
        <item x="18"/>
        <item x="13"/>
        <item x="49"/>
        <item x="78"/>
        <item x="51"/>
        <item x="97"/>
        <item x="20"/>
        <item x="17"/>
        <item x="73"/>
        <item x="37"/>
        <item x="35"/>
        <item x="1"/>
        <item x="58"/>
        <item x="22"/>
        <item x="36"/>
        <item x="59"/>
        <item x="7"/>
        <item x="34"/>
        <item x="57"/>
        <item t="default"/>
      </items>
      <autoSortScope>
        <pivotArea dataOnly="0" outline="0" fieldPosition="0">
          <references count="1">
            <reference field="4294967294" count="1" selected="0">
              <x v="0"/>
            </reference>
          </references>
        </pivotArea>
      </autoSortScope>
    </pivotField>
    <pivotField showAll="0" measureFilter="1" sortType="ascending">
      <items count="6">
        <item h="1" x="4"/>
        <item x="1"/>
        <item x="3"/>
        <item h="1" x="0"/>
        <item h="1" x="2"/>
        <item t="default"/>
      </items>
      <autoSortScope>
        <pivotArea dataOnly="0" outline="0" fieldPosition="0">
          <references count="1">
            <reference field="4294967294" count="1" selected="0">
              <x v="0"/>
            </reference>
          </references>
        </pivotArea>
      </autoSortScope>
    </pivotField>
    <pivotField showAll="0">
      <items count="4">
        <item x="0"/>
        <item x="2"/>
        <item x="1"/>
        <item t="default"/>
      </items>
    </pivotField>
    <pivotField showAll="0"/>
    <pivotField showAll="0">
      <items count="4">
        <item x="1"/>
        <item x="0"/>
        <item x="2"/>
        <item t="default"/>
      </items>
    </pivotField>
    <pivotField showAll="0"/>
    <pivotField showAll="0"/>
    <pivotField showAll="0"/>
    <pivotField showAll="0">
      <items count="5">
        <item x="3"/>
        <item x="0"/>
        <item x="1"/>
        <item x="2"/>
        <item t="default"/>
      </items>
    </pivotField>
    <pivotField showAll="0"/>
    <pivotField dataField="1" showAll="0"/>
    <pivotField showAll="0"/>
    <pivotField showAll="0"/>
    <pivotField showAll="0"/>
    <pivotField showAll="0"/>
    <pivotField showAll="0"/>
  </pivotFields>
  <rowFields count="1">
    <field x="4"/>
  </rowFields>
  <rowItems count="14">
    <i>
      <x v="30"/>
    </i>
    <i>
      <x v="11"/>
    </i>
    <i>
      <x v="50"/>
    </i>
    <i>
      <x v="18"/>
    </i>
    <i>
      <x v="57"/>
    </i>
    <i>
      <x v="25"/>
    </i>
    <i>
      <x v="72"/>
    </i>
    <i>
      <x v="14"/>
    </i>
    <i>
      <x v="91"/>
    </i>
    <i>
      <x v="29"/>
    </i>
    <i>
      <x v="92"/>
    </i>
    <i>
      <x v="24"/>
    </i>
    <i>
      <x v="93"/>
    </i>
    <i t="grand">
      <x/>
    </i>
  </rowItems>
  <colItems count="1">
    <i/>
  </colItems>
  <dataFields count="1">
    <dataField name="Sum of Revenue (₹)" fld="14" baseField="0" baseItem="0"/>
  </dataFields>
  <pivotTableStyleInfo name="PivotStyleLight16" showRowHeaders="1" showColHeaders="1" showRowStripes="0" showColStripes="0" showLastColumn="1"/>
  <filters count="2">
    <filter fld="4" type="count" evalOrder="-1" id="9" iMeasureFld="0">
      <autoFilter ref="A1">
        <filterColumn colId="0">
          <top10 top="0" val="10" filterVal="10"/>
        </filterColumn>
      </autoFilter>
    </filter>
    <filter fld="5" type="count" evalOrder="-1" id="7"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02BB165-0680-4283-A09E-7D3C2B526B2B}" name="PivotTable2" cacheId="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D3" firstHeaderRow="0" firstDataRow="0" firstDataCol="0"/>
  <pivotFields count="20">
    <pivotField showAll="0"/>
    <pivotField numFmtId="164" showAll="0"/>
    <pivotField showAll="0">
      <items count="11">
        <item h="1" x="6"/>
        <item x="2"/>
        <item x="9"/>
        <item x="3"/>
        <item h="1" x="8"/>
        <item x="0"/>
        <item h="1" x="4"/>
        <item x="5"/>
        <item h="1" x="7"/>
        <item x="1"/>
        <item t="default"/>
      </items>
    </pivotField>
    <pivotField showAll="0"/>
    <pivotField axis="axisRow" showAll="0" measureFilter="1" sortType="ascending">
      <items count="100">
        <item x="44"/>
        <item x="83"/>
        <item x="11"/>
        <item x="32"/>
        <item x="79"/>
        <item x="27"/>
        <item x="24"/>
        <item x="69"/>
        <item x="80"/>
        <item x="2"/>
        <item x="92"/>
        <item x="55"/>
        <item x="70"/>
        <item x="87"/>
        <item x="95"/>
        <item x="66"/>
        <item x="21"/>
        <item x="84"/>
        <item x="93"/>
        <item x="74"/>
        <item x="71"/>
        <item x="53"/>
        <item x="86"/>
        <item x="43"/>
        <item x="29"/>
        <item x="72"/>
        <item x="52"/>
        <item x="30"/>
        <item x="76"/>
        <item x="50"/>
        <item x="3"/>
        <item x="23"/>
        <item x="65"/>
        <item x="62"/>
        <item x="6"/>
        <item x="12"/>
        <item x="90"/>
        <item x="10"/>
        <item x="60"/>
        <item x="28"/>
        <item x="31"/>
        <item x="77"/>
        <item x="39"/>
        <item x="85"/>
        <item x="67"/>
        <item x="63"/>
        <item x="64"/>
        <item x="0"/>
        <item x="15"/>
        <item x="96"/>
        <item x="89"/>
        <item x="14"/>
        <item x="68"/>
        <item x="38"/>
        <item x="46"/>
        <item x="98"/>
        <item x="94"/>
        <item x="47"/>
        <item x="81"/>
        <item x="88"/>
        <item x="9"/>
        <item x="26"/>
        <item x="4"/>
        <item x="41"/>
        <item x="61"/>
        <item x="54"/>
        <item x="82"/>
        <item x="40"/>
        <item x="8"/>
        <item x="91"/>
        <item x="16"/>
        <item x="48"/>
        <item x="19"/>
        <item x="75"/>
        <item x="56"/>
        <item x="33"/>
        <item x="5"/>
        <item x="25"/>
        <item x="42"/>
        <item x="45"/>
        <item x="18"/>
        <item x="13"/>
        <item x="49"/>
        <item x="78"/>
        <item x="51"/>
        <item x="97"/>
        <item x="20"/>
        <item x="17"/>
        <item x="73"/>
        <item x="37"/>
        <item x="35"/>
        <item x="1"/>
        <item x="58"/>
        <item x="22"/>
        <item x="36"/>
        <item x="59"/>
        <item x="7"/>
        <item x="34"/>
        <item x="57"/>
        <item t="default"/>
      </items>
      <autoSortScope>
        <pivotArea dataOnly="0" outline="0" fieldPosition="0">
          <references count="1">
            <reference field="4294967294" count="1" selected="0">
              <x v="0"/>
            </reference>
          </references>
        </pivotArea>
      </autoSortScope>
    </pivotField>
    <pivotField showAll="0" measureFilter="1" sortType="ascending">
      <items count="6">
        <item h="1" x="4"/>
        <item x="1"/>
        <item x="3"/>
        <item h="1" x="0"/>
        <item h="1" x="2"/>
        <item t="default"/>
      </items>
      <autoSortScope>
        <pivotArea dataOnly="0" outline="0" fieldPosition="0">
          <references count="1">
            <reference field="4294967294" count="1" selected="0">
              <x v="0"/>
            </reference>
          </references>
        </pivotArea>
      </autoSortScope>
    </pivotField>
    <pivotField showAll="0">
      <items count="4">
        <item x="0"/>
        <item x="2"/>
        <item x="1"/>
        <item t="default"/>
      </items>
    </pivotField>
    <pivotField showAll="0"/>
    <pivotField showAll="0">
      <items count="4">
        <item x="1"/>
        <item x="0"/>
        <item x="2"/>
        <item t="default"/>
      </items>
    </pivotField>
    <pivotField showAll="0"/>
    <pivotField showAll="0"/>
    <pivotField showAll="0"/>
    <pivotField showAll="0">
      <items count="5">
        <item x="3"/>
        <item x="0"/>
        <item x="1"/>
        <item x="2"/>
        <item t="default"/>
      </items>
    </pivotField>
    <pivotField showAll="0"/>
    <pivotField dataField="1" showAll="0"/>
    <pivotField showAll="0"/>
    <pivotField showAll="0"/>
    <pivotField showAll="0"/>
    <pivotField showAll="0"/>
    <pivotField showAll="0"/>
  </pivotFields>
  <rowFields count="1">
    <field x="4"/>
  </rowFields>
  <rowItems count="21">
    <i>
      <x v="94"/>
    </i>
    <i>
      <x v="38"/>
    </i>
    <i>
      <x v="36"/>
    </i>
    <i>
      <x v="34"/>
    </i>
    <i>
      <x v="52"/>
    </i>
    <i>
      <x v="31"/>
    </i>
    <i>
      <x v="33"/>
    </i>
    <i>
      <x v="20"/>
    </i>
    <i>
      <x v="76"/>
    </i>
    <i>
      <x v="87"/>
    </i>
    <i>
      <x v="54"/>
    </i>
    <i>
      <x v="15"/>
    </i>
    <i>
      <x v="48"/>
    </i>
    <i>
      <x v="96"/>
    </i>
    <i>
      <x v="22"/>
    </i>
    <i>
      <x v="75"/>
    </i>
    <i>
      <x v="78"/>
    </i>
    <i>
      <x v="77"/>
    </i>
    <i>
      <x v="37"/>
    </i>
    <i>
      <x v="56"/>
    </i>
    <i t="grand">
      <x/>
    </i>
  </rowItems>
  <colItems count="1">
    <i/>
  </colItems>
  <dataFields count="1">
    <dataField name="Sum of Revenue (₹)" fld="14" baseField="0" baseItem="0"/>
  </dataFields>
  <pivotTableStyleInfo name="PivotStyleLight16" showRowHeaders="1" showColHeaders="1" showRowStripes="0" showColStripes="0" showLastColumn="1"/>
  <filters count="2">
    <filter fld="4" type="valueGreaterThan" evalOrder="-1" id="4" iMeasureFld="0">
      <autoFilter ref="A1">
        <filterColumn colId="0">
          <customFilters>
            <customFilter operator="greaterThan" val="0"/>
          </customFilters>
        </filterColumn>
      </autoFilter>
    </filter>
    <filter fld="5" type="count" evalOrder="-1" id="7"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v>
    <v>8</v>
    <v>21</v>
    <v>7</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1AA026AE-0584-4D3C-B780-D0526D3A707F}" sourceName="City">
  <pivotTables>
    <pivotTable tabId="4" name="PivotTable1"/>
    <pivotTable tabId="4" name="PivotTable10"/>
    <pivotTable tabId="4" name="PivotTable11"/>
    <pivotTable tabId="4" name="PivotTable12"/>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s>
  <data>
    <tabular pivotCacheId="82907149">
      <items count="10">
        <i x="6"/>
        <i x="2" s="1"/>
        <i x="9" s="1"/>
        <i x="3" s="1"/>
        <i x="8"/>
        <i x="0" s="1"/>
        <i x="4"/>
        <i x="5" s="1"/>
        <i x="7"/>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rger_Type" xr10:uid="{73F69428-27D8-4941-8537-B16731CE7769}" sourceName="Charger Type">
  <pivotTables>
    <pivotTable tabId="4" name="PivotTable8"/>
    <pivotTable tabId="4" name="PivotTable1"/>
    <pivotTable tabId="4" name="PivotTable10"/>
    <pivotTable tabId="4" name="PivotTable11"/>
    <pivotTable tabId="4" name="PivotTable12"/>
    <pivotTable tabId="4" name="PivotTable2"/>
    <pivotTable tabId="4" name="PivotTable3"/>
    <pivotTable tabId="4" name="PivotTable4"/>
    <pivotTable tabId="4" name="PivotTable5"/>
    <pivotTable tabId="4" name="PivotTable6"/>
    <pivotTable tabId="4" name="PivotTable7"/>
    <pivotTable tabId="4" name="PivotTable9"/>
  </pivotTables>
  <data>
    <tabular pivotCacheId="82907149">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hicle_Type" xr10:uid="{9E1176FF-1009-419C-A0D0-3710D3BDA15A}" sourceName="Vehicle Type">
  <pivotTables>
    <pivotTable tabId="4" name="PivotTable11"/>
    <pivotTable tabId="4" name="PivotTable1"/>
    <pivotTable tabId="4" name="PivotTable10"/>
    <pivotTable tabId="4" name="PivotTable12"/>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s>
  <data>
    <tabular pivotCacheId="82907149">
      <items count="3">
        <i x="1"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ion_Type" xr10:uid="{448F59D1-C4A1-41A1-8A52-2BCF7FBCCF03}" sourceName="Station Type">
  <pivotTables>
    <pivotTable tabId="4" name="PivotTable12"/>
    <pivotTable tabId="4" name="PivotTable1"/>
    <pivotTable tabId="4" name="PivotTable10"/>
    <pivotTable tabId="4" name="PivotTable11"/>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s>
  <data>
    <tabular pivotCacheId="82907149">
      <items count="5">
        <i x="4"/>
        <i x="1" s="1"/>
        <i x="3" s="1"/>
        <i x="0"/>
        <i x="2"/>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81156B35-9434-4187-BAAC-DB75F9C65A7B}" sourceName="Payment Mode">
  <pivotTables>
    <pivotTable tabId="4" name="PivotTable10"/>
    <pivotTable tabId="4" name="PivotTable1"/>
    <pivotTable tabId="4" name="PivotTable11"/>
    <pivotTable tabId="4" name="PivotTable12"/>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s>
  <data>
    <tabular pivotCacheId="82907149">
      <items count="4">
        <i x="3" s="1"/>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BA371E63-E1B3-46E0-B1A3-D073A1524B47}" cache="Slicer_City" caption="City" showCaption="0" style="SlicerStyleLight3" rowHeight="234950"/>
  <slicer name="Charger Type" xr10:uid="{68568400-0DA3-4DD5-BD38-6FB1B80A764A}" cache="Slicer_Charger_Type" caption="Charger Type" showCaption="0" style="SlicerStyleLight3" rowHeight="234950"/>
  <slicer name="Vehicle Type" xr10:uid="{01631926-5261-4C23-BBF8-070668140D87}" cache="Slicer_Vehicle_Type" caption="Vehicle Type" showCaption="0" style="SlicerStyleLight3" rowHeight="234950"/>
  <slicer name="Station Type" xr10:uid="{DBE47804-2958-488B-B004-52D95FF28911}" cache="Slicer_Station_Type" caption="Station Type" showCaption="0" style="SlicerStyleLight3" rowHeight="234950"/>
  <slicer name="Payment Mode" xr10:uid="{ABB1DB8C-9145-4510-8BC2-2CAEC5E93B70}" cache="Slicer_Payment_Mode" caption="Payment Mode" columnCount="2" showCaption="0" style="SlicerStyleLight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EVChargingData" displayName="EVChargingData" ref="A1:T121">
  <autoFilter ref="A1:T121" xr:uid="{00000000-0009-0000-0100-000001000000}"/>
  <tableColumns count="20">
    <tableColumn id="1" xr3:uid="{00000000-0010-0000-0000-000001000000}" name="Session ID"/>
    <tableColumn id="2" xr3:uid="{00000000-0010-0000-0000-000002000000}" name="Date"/>
    <tableColumn id="3" xr3:uid="{00000000-0010-0000-0000-000003000000}" name="City"/>
    <tableColumn id="4" xr3:uid="{00000000-0010-0000-0000-000004000000}" name="State"/>
    <tableColumn id="5" xr3:uid="{00000000-0010-0000-0000-000005000000}" name="Station ID"/>
    <tableColumn id="6" xr3:uid="{00000000-0010-0000-0000-000006000000}" name="Station Type"/>
    <tableColumn id="7" xr3:uid="{00000000-0010-0000-0000-000007000000}" name="Charger Type"/>
    <tableColumn id="8" xr3:uid="{00000000-0010-0000-0000-000008000000}" name="Connector"/>
    <tableColumn id="9" xr3:uid="{00000000-0010-0000-0000-000009000000}" name="Vehicle Type"/>
    <tableColumn id="10" xr3:uid="{00000000-0010-0000-0000-00000A000000}" name="Power (kW)"/>
    <tableColumn id="11" xr3:uid="{00000000-0010-0000-0000-00000B000000}" name="Charging Duration (min)"/>
    <tableColumn id="12" xr3:uid="{00000000-0010-0000-0000-00000C000000}" name="Energy Delivered (kWh)"/>
    <tableColumn id="13" xr3:uid="{00000000-0010-0000-0000-00000D000000}" name="Payment Mode"/>
    <tableColumn id="14" xr3:uid="{00000000-0010-0000-0000-00000E000000}" name="Session Status"/>
    <tableColumn id="15" xr3:uid="{00000000-0010-0000-0000-00000F000000}" name="Revenue (₹)"/>
    <tableColumn id="16" xr3:uid="{00000000-0010-0000-0000-000010000000}" name="Station Utilization %"/>
    <tableColumn id="17" xr3:uid="{00000000-0010-0000-0000-000011000000}" name="Month"/>
    <tableColumn id="18" xr3:uid="{00000000-0010-0000-0000-000012000000}" name="Target Revenue (₹)"/>
    <tableColumn id="19" xr3:uid="{00000000-0010-0000-0000-000013000000}" name="Target Status"/>
    <tableColumn id="20" xr3:uid="{95925ED9-E3BF-4A3D-A540-95B38E39A17B}" name="Column1"/>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21"/>
  <sheetViews>
    <sheetView zoomScale="86" workbookViewId="0">
      <pane ySplit="1" topLeftCell="A76" activePane="bottomLeft" state="frozen"/>
      <selection pane="bottomLeft" activeCell="G92" sqref="G92"/>
    </sheetView>
  </sheetViews>
  <sheetFormatPr defaultRowHeight="14.4" x14ac:dyDescent="0.3"/>
  <cols>
    <col min="1" max="1" width="13.88671875" bestFit="1" customWidth="1"/>
    <col min="2" max="2" width="10.33203125" bestFit="1" customWidth="1"/>
    <col min="3" max="3" width="10.6640625" bestFit="1" customWidth="1"/>
    <col min="4" max="4" width="12.21875" bestFit="1" customWidth="1"/>
    <col min="5" max="5" width="13.6640625" bestFit="1" customWidth="1"/>
    <col min="6" max="6" width="16" bestFit="1" customWidth="1"/>
    <col min="7" max="7" width="16.5546875" bestFit="1" customWidth="1"/>
    <col min="8" max="8" width="14.21875" bestFit="1" customWidth="1"/>
    <col min="9" max="9" width="16.109375" bestFit="1" customWidth="1"/>
    <col min="10" max="10" width="15.33203125" bestFit="1" customWidth="1"/>
    <col min="11" max="11" width="26" bestFit="1" customWidth="1"/>
    <col min="12" max="12" width="25.44140625" bestFit="1" customWidth="1"/>
    <col min="13" max="13" width="18.5546875" bestFit="1" customWidth="1"/>
    <col min="14" max="14" width="17.33203125" bestFit="1" customWidth="1"/>
    <col min="15" max="15" width="15.5546875" bestFit="1" customWidth="1"/>
    <col min="16" max="16" width="22.44140625" bestFit="1" customWidth="1"/>
    <col min="17" max="17" width="11.21875" bestFit="1" customWidth="1"/>
    <col min="18" max="18" width="21.44140625" bestFit="1" customWidth="1"/>
    <col min="19" max="19" width="16.44140625" bestFit="1" customWidth="1"/>
    <col min="20" max="20" width="30.44140625" bestFit="1" customWidth="1"/>
  </cols>
  <sheetData>
    <row r="1" spans="1:20"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t="s">
        <v>314</v>
      </c>
    </row>
    <row r="2" spans="1:20" x14ac:dyDescent="0.3">
      <c r="A2" t="s">
        <v>19</v>
      </c>
      <c r="B2" s="1">
        <v>46093</v>
      </c>
      <c r="C2" t="s">
        <v>20</v>
      </c>
      <c r="D2" t="s">
        <v>21</v>
      </c>
      <c r="E2" t="s">
        <v>22</v>
      </c>
      <c r="F2" t="s">
        <v>23</v>
      </c>
      <c r="G2" t="s">
        <v>24</v>
      </c>
      <c r="H2" t="s">
        <v>25</v>
      </c>
      <c r="I2" t="s">
        <v>26</v>
      </c>
      <c r="J2">
        <v>22</v>
      </c>
      <c r="K2">
        <v>174</v>
      </c>
      <c r="L2">
        <v>13.8</v>
      </c>
      <c r="M2" t="s">
        <v>27</v>
      </c>
      <c r="N2" t="s">
        <v>28</v>
      </c>
      <c r="O2">
        <v>276</v>
      </c>
      <c r="P2">
        <v>37</v>
      </c>
      <c r="Q2" t="s">
        <v>29</v>
      </c>
      <c r="R2">
        <v>327.75</v>
      </c>
      <c r="S2" t="s">
        <v>30</v>
      </c>
    </row>
    <row r="3" spans="1:20" x14ac:dyDescent="0.3">
      <c r="A3" t="s">
        <v>31</v>
      </c>
      <c r="B3" s="1">
        <v>46152</v>
      </c>
      <c r="C3" t="s">
        <v>32</v>
      </c>
      <c r="D3" t="s">
        <v>33</v>
      </c>
      <c r="E3" t="s">
        <v>34</v>
      </c>
      <c r="F3" t="s">
        <v>35</v>
      </c>
      <c r="G3" t="s">
        <v>36</v>
      </c>
      <c r="H3" t="s">
        <v>37</v>
      </c>
      <c r="I3" t="s">
        <v>38</v>
      </c>
      <c r="J3">
        <v>350</v>
      </c>
      <c r="K3">
        <v>17</v>
      </c>
      <c r="L3">
        <v>0</v>
      </c>
      <c r="M3" t="s">
        <v>27</v>
      </c>
      <c r="N3" t="s">
        <v>39</v>
      </c>
      <c r="O3">
        <v>0</v>
      </c>
      <c r="P3">
        <v>30.2</v>
      </c>
      <c r="Q3" t="s">
        <v>40</v>
      </c>
      <c r="R3">
        <v>0</v>
      </c>
      <c r="S3" t="s">
        <v>41</v>
      </c>
    </row>
    <row r="4" spans="1:20" x14ac:dyDescent="0.3">
      <c r="A4" t="s">
        <v>42</v>
      </c>
      <c r="B4" s="1">
        <v>46131</v>
      </c>
      <c r="C4" t="s">
        <v>43</v>
      </c>
      <c r="D4" t="s">
        <v>44</v>
      </c>
      <c r="E4" t="s">
        <v>45</v>
      </c>
      <c r="F4" t="s">
        <v>46</v>
      </c>
      <c r="G4" t="s">
        <v>47</v>
      </c>
      <c r="H4" t="s">
        <v>48</v>
      </c>
      <c r="I4" t="s">
        <v>26</v>
      </c>
      <c r="J4">
        <v>30</v>
      </c>
      <c r="K4">
        <v>25</v>
      </c>
      <c r="L4">
        <v>33.5</v>
      </c>
      <c r="M4" t="s">
        <v>27</v>
      </c>
      <c r="N4" t="s">
        <v>28</v>
      </c>
      <c r="O4">
        <v>603</v>
      </c>
      <c r="P4">
        <v>88.4</v>
      </c>
      <c r="Q4" t="s">
        <v>49</v>
      </c>
      <c r="R4">
        <v>716.07</v>
      </c>
      <c r="S4" t="s">
        <v>30</v>
      </c>
    </row>
    <row r="5" spans="1:20" x14ac:dyDescent="0.3">
      <c r="A5" t="s">
        <v>50</v>
      </c>
      <c r="B5" s="1">
        <v>46140</v>
      </c>
      <c r="C5" t="s">
        <v>51</v>
      </c>
      <c r="D5" t="s">
        <v>51</v>
      </c>
      <c r="E5" t="s">
        <v>52</v>
      </c>
      <c r="F5" t="s">
        <v>35</v>
      </c>
      <c r="G5" t="s">
        <v>36</v>
      </c>
      <c r="H5" t="s">
        <v>37</v>
      </c>
      <c r="I5" t="s">
        <v>53</v>
      </c>
      <c r="J5">
        <v>240</v>
      </c>
      <c r="K5">
        <v>36</v>
      </c>
      <c r="L5">
        <v>0</v>
      </c>
      <c r="M5" t="s">
        <v>54</v>
      </c>
      <c r="N5" t="s">
        <v>39</v>
      </c>
      <c r="O5">
        <v>0</v>
      </c>
      <c r="P5">
        <v>38.299999999999997</v>
      </c>
      <c r="Q5" t="s">
        <v>49</v>
      </c>
      <c r="R5">
        <v>0</v>
      </c>
      <c r="S5" t="s">
        <v>41</v>
      </c>
    </row>
    <row r="6" spans="1:20" x14ac:dyDescent="0.3">
      <c r="A6" t="s">
        <v>55</v>
      </c>
      <c r="B6" s="1">
        <v>46040</v>
      </c>
      <c r="C6" t="s">
        <v>56</v>
      </c>
      <c r="D6" t="s">
        <v>57</v>
      </c>
      <c r="E6" t="s">
        <v>58</v>
      </c>
      <c r="F6" t="s">
        <v>35</v>
      </c>
      <c r="G6" t="s">
        <v>24</v>
      </c>
      <c r="H6" t="s">
        <v>25</v>
      </c>
      <c r="I6" t="s">
        <v>38</v>
      </c>
      <c r="J6">
        <v>7</v>
      </c>
      <c r="K6">
        <v>94</v>
      </c>
      <c r="L6">
        <v>66.099999999999994</v>
      </c>
      <c r="M6" t="s">
        <v>27</v>
      </c>
      <c r="N6" t="s">
        <v>28</v>
      </c>
      <c r="O6">
        <v>1322</v>
      </c>
      <c r="P6">
        <v>52.5</v>
      </c>
      <c r="Q6" t="s">
        <v>59</v>
      </c>
      <c r="R6">
        <v>1569.89</v>
      </c>
      <c r="S6" t="s">
        <v>30</v>
      </c>
    </row>
    <row r="7" spans="1:20" x14ac:dyDescent="0.3">
      <c r="A7" t="s">
        <v>60</v>
      </c>
      <c r="B7" s="1">
        <v>46113</v>
      </c>
      <c r="C7" t="s">
        <v>61</v>
      </c>
      <c r="D7" t="s">
        <v>33</v>
      </c>
      <c r="E7" t="s">
        <v>62</v>
      </c>
      <c r="F7" t="s">
        <v>63</v>
      </c>
      <c r="G7" t="s">
        <v>24</v>
      </c>
      <c r="H7" t="s">
        <v>25</v>
      </c>
      <c r="I7" t="s">
        <v>38</v>
      </c>
      <c r="J7">
        <v>22</v>
      </c>
      <c r="K7">
        <v>78</v>
      </c>
      <c r="L7">
        <v>43.8</v>
      </c>
      <c r="M7" t="s">
        <v>64</v>
      </c>
      <c r="N7" t="s">
        <v>28</v>
      </c>
      <c r="O7">
        <v>700.8</v>
      </c>
      <c r="P7">
        <v>45.3</v>
      </c>
      <c r="Q7" t="s">
        <v>49</v>
      </c>
      <c r="R7">
        <v>832.21</v>
      </c>
      <c r="S7" t="s">
        <v>30</v>
      </c>
    </row>
    <row r="8" spans="1:20" x14ac:dyDescent="0.3">
      <c r="A8" t="s">
        <v>65</v>
      </c>
      <c r="B8" s="1">
        <v>46106</v>
      </c>
      <c r="C8" t="s">
        <v>51</v>
      </c>
      <c r="D8" t="s">
        <v>51</v>
      </c>
      <c r="E8" t="s">
        <v>66</v>
      </c>
      <c r="F8" t="s">
        <v>35</v>
      </c>
      <c r="G8" t="s">
        <v>24</v>
      </c>
      <c r="H8" t="s">
        <v>25</v>
      </c>
      <c r="I8" t="s">
        <v>26</v>
      </c>
      <c r="J8">
        <v>11</v>
      </c>
      <c r="K8">
        <v>103</v>
      </c>
      <c r="L8">
        <v>12.4</v>
      </c>
      <c r="M8" t="s">
        <v>54</v>
      </c>
      <c r="N8" t="s">
        <v>28</v>
      </c>
      <c r="O8">
        <v>272.8</v>
      </c>
      <c r="P8">
        <v>90.2</v>
      </c>
      <c r="Q8" t="s">
        <v>29</v>
      </c>
      <c r="R8">
        <v>323.95</v>
      </c>
      <c r="S8" t="s">
        <v>30</v>
      </c>
    </row>
    <row r="9" spans="1:20" x14ac:dyDescent="0.3">
      <c r="A9" t="s">
        <v>67</v>
      </c>
      <c r="B9" s="1">
        <v>46124</v>
      </c>
      <c r="C9" t="s">
        <v>32</v>
      </c>
      <c r="D9" t="s">
        <v>33</v>
      </c>
      <c r="E9" t="s">
        <v>68</v>
      </c>
      <c r="F9" t="s">
        <v>63</v>
      </c>
      <c r="G9" t="s">
        <v>36</v>
      </c>
      <c r="H9" t="s">
        <v>48</v>
      </c>
      <c r="I9" t="s">
        <v>26</v>
      </c>
      <c r="J9">
        <v>180</v>
      </c>
      <c r="K9">
        <v>33</v>
      </c>
      <c r="L9">
        <v>45.6</v>
      </c>
      <c r="M9" t="s">
        <v>64</v>
      </c>
      <c r="N9" t="s">
        <v>28</v>
      </c>
      <c r="O9">
        <v>820.8</v>
      </c>
      <c r="P9">
        <v>82.1</v>
      </c>
      <c r="Q9" t="s">
        <v>49</v>
      </c>
      <c r="R9">
        <v>974.71</v>
      </c>
      <c r="S9" t="s">
        <v>30</v>
      </c>
    </row>
    <row r="10" spans="1:20" x14ac:dyDescent="0.3">
      <c r="A10" t="s">
        <v>69</v>
      </c>
      <c r="B10" s="1">
        <v>46115</v>
      </c>
      <c r="C10" t="s">
        <v>56</v>
      </c>
      <c r="D10" t="s">
        <v>57</v>
      </c>
      <c r="E10" t="s">
        <v>70</v>
      </c>
      <c r="F10" t="s">
        <v>63</v>
      </c>
      <c r="G10" t="s">
        <v>24</v>
      </c>
      <c r="H10" t="s">
        <v>25</v>
      </c>
      <c r="I10" t="s">
        <v>26</v>
      </c>
      <c r="J10">
        <v>7</v>
      </c>
      <c r="K10">
        <v>63</v>
      </c>
      <c r="L10">
        <v>18.2</v>
      </c>
      <c r="M10" t="s">
        <v>71</v>
      </c>
      <c r="N10" t="s">
        <v>28</v>
      </c>
      <c r="O10">
        <v>291.2</v>
      </c>
      <c r="P10">
        <v>84.9</v>
      </c>
      <c r="Q10" t="s">
        <v>49</v>
      </c>
      <c r="R10">
        <v>345.8</v>
      </c>
      <c r="S10" t="s">
        <v>30</v>
      </c>
    </row>
    <row r="11" spans="1:20" x14ac:dyDescent="0.3">
      <c r="A11" t="s">
        <v>72</v>
      </c>
      <c r="B11" s="1">
        <v>46121</v>
      </c>
      <c r="C11" t="s">
        <v>56</v>
      </c>
      <c r="D11" t="s">
        <v>57</v>
      </c>
      <c r="E11" t="s">
        <v>73</v>
      </c>
      <c r="F11" t="s">
        <v>46</v>
      </c>
      <c r="G11" t="s">
        <v>47</v>
      </c>
      <c r="H11" t="s">
        <v>48</v>
      </c>
      <c r="I11" t="s">
        <v>38</v>
      </c>
      <c r="J11">
        <v>30</v>
      </c>
      <c r="K11">
        <v>63</v>
      </c>
      <c r="L11">
        <v>0</v>
      </c>
      <c r="M11" t="s">
        <v>64</v>
      </c>
      <c r="N11" t="s">
        <v>39</v>
      </c>
      <c r="O11">
        <v>0</v>
      </c>
      <c r="P11">
        <v>42.4</v>
      </c>
      <c r="Q11" t="s">
        <v>49</v>
      </c>
      <c r="R11">
        <v>0</v>
      </c>
      <c r="S11" t="s">
        <v>41</v>
      </c>
    </row>
    <row r="12" spans="1:20" x14ac:dyDescent="0.3">
      <c r="A12" t="s">
        <v>74</v>
      </c>
      <c r="B12" s="1">
        <v>46051</v>
      </c>
      <c r="C12" t="s">
        <v>51</v>
      </c>
      <c r="D12" t="s">
        <v>51</v>
      </c>
      <c r="E12" t="s">
        <v>75</v>
      </c>
      <c r="F12" t="s">
        <v>35</v>
      </c>
      <c r="G12" t="s">
        <v>47</v>
      </c>
      <c r="H12" t="s">
        <v>48</v>
      </c>
      <c r="I12" t="s">
        <v>26</v>
      </c>
      <c r="J12">
        <v>60</v>
      </c>
      <c r="K12">
        <v>52</v>
      </c>
      <c r="L12">
        <v>59.1</v>
      </c>
      <c r="M12" t="s">
        <v>71</v>
      </c>
      <c r="N12" t="s">
        <v>28</v>
      </c>
      <c r="O12">
        <v>1300.2</v>
      </c>
      <c r="P12">
        <v>92.5</v>
      </c>
      <c r="Q12" t="s">
        <v>59</v>
      </c>
      <c r="R12">
        <v>1544</v>
      </c>
      <c r="S12" t="s">
        <v>30</v>
      </c>
    </row>
    <row r="13" spans="1:20" x14ac:dyDescent="0.3">
      <c r="A13" t="s">
        <v>76</v>
      </c>
      <c r="B13" s="1">
        <v>46062</v>
      </c>
      <c r="C13" t="s">
        <v>77</v>
      </c>
      <c r="D13" t="s">
        <v>78</v>
      </c>
      <c r="E13" t="s">
        <v>79</v>
      </c>
      <c r="F13" t="s">
        <v>35</v>
      </c>
      <c r="G13" t="s">
        <v>47</v>
      </c>
      <c r="H13" t="s">
        <v>37</v>
      </c>
      <c r="I13" t="s">
        <v>38</v>
      </c>
      <c r="J13">
        <v>60</v>
      </c>
      <c r="K13">
        <v>51</v>
      </c>
      <c r="L13">
        <v>0</v>
      </c>
      <c r="M13" t="s">
        <v>54</v>
      </c>
      <c r="N13" t="s">
        <v>39</v>
      </c>
      <c r="O13">
        <v>0</v>
      </c>
      <c r="P13">
        <v>10.9</v>
      </c>
      <c r="Q13" t="s">
        <v>80</v>
      </c>
      <c r="R13">
        <v>0</v>
      </c>
      <c r="S13" t="s">
        <v>41</v>
      </c>
    </row>
    <row r="14" spans="1:20" x14ac:dyDescent="0.3">
      <c r="A14" t="s">
        <v>81</v>
      </c>
      <c r="B14" s="1">
        <v>46037</v>
      </c>
      <c r="C14" t="s">
        <v>51</v>
      </c>
      <c r="D14" t="s">
        <v>51</v>
      </c>
      <c r="E14" t="s">
        <v>82</v>
      </c>
      <c r="F14" t="s">
        <v>83</v>
      </c>
      <c r="G14" t="s">
        <v>24</v>
      </c>
      <c r="H14" t="s">
        <v>25</v>
      </c>
      <c r="I14" t="s">
        <v>38</v>
      </c>
      <c r="J14">
        <v>22</v>
      </c>
      <c r="K14">
        <v>159</v>
      </c>
      <c r="L14">
        <v>62.7</v>
      </c>
      <c r="M14" t="s">
        <v>54</v>
      </c>
      <c r="N14" t="s">
        <v>28</v>
      </c>
      <c r="O14">
        <v>1379.4</v>
      </c>
      <c r="P14">
        <v>83.2</v>
      </c>
      <c r="Q14" t="s">
        <v>59</v>
      </c>
      <c r="R14">
        <v>1638.05</v>
      </c>
      <c r="S14" t="s">
        <v>30</v>
      </c>
    </row>
    <row r="15" spans="1:20" x14ac:dyDescent="0.3">
      <c r="A15" t="s">
        <v>84</v>
      </c>
      <c r="B15" s="1">
        <v>46090</v>
      </c>
      <c r="C15" t="s">
        <v>85</v>
      </c>
      <c r="D15" t="s">
        <v>86</v>
      </c>
      <c r="E15" t="s">
        <v>87</v>
      </c>
      <c r="F15" t="s">
        <v>63</v>
      </c>
      <c r="G15" t="s">
        <v>36</v>
      </c>
      <c r="H15" t="s">
        <v>48</v>
      </c>
      <c r="I15" t="s">
        <v>26</v>
      </c>
      <c r="J15">
        <v>350</v>
      </c>
      <c r="K15">
        <v>31</v>
      </c>
      <c r="L15">
        <v>51.5</v>
      </c>
      <c r="M15" t="s">
        <v>27</v>
      </c>
      <c r="N15" t="s">
        <v>28</v>
      </c>
      <c r="O15">
        <v>1030</v>
      </c>
      <c r="P15">
        <v>91.7</v>
      </c>
      <c r="Q15" t="s">
        <v>29</v>
      </c>
      <c r="R15">
        <v>1223.1400000000001</v>
      </c>
      <c r="S15" t="s">
        <v>30</v>
      </c>
    </row>
    <row r="16" spans="1:20" x14ac:dyDescent="0.3">
      <c r="A16" t="s">
        <v>88</v>
      </c>
      <c r="B16" s="1">
        <v>46080</v>
      </c>
      <c r="C16" t="s">
        <v>20</v>
      </c>
      <c r="D16" t="s">
        <v>21</v>
      </c>
      <c r="E16" t="s">
        <v>89</v>
      </c>
      <c r="F16" t="s">
        <v>23</v>
      </c>
      <c r="G16" t="s">
        <v>24</v>
      </c>
      <c r="H16" t="s">
        <v>25</v>
      </c>
      <c r="I16" t="s">
        <v>53</v>
      </c>
      <c r="J16">
        <v>22</v>
      </c>
      <c r="K16">
        <v>93</v>
      </c>
      <c r="L16">
        <v>0</v>
      </c>
      <c r="M16" t="s">
        <v>54</v>
      </c>
      <c r="N16" t="s">
        <v>39</v>
      </c>
      <c r="O16">
        <v>0</v>
      </c>
      <c r="P16">
        <v>36.5</v>
      </c>
      <c r="Q16" t="s">
        <v>80</v>
      </c>
      <c r="R16">
        <v>0</v>
      </c>
      <c r="S16" t="s">
        <v>41</v>
      </c>
    </row>
    <row r="17" spans="1:19" x14ac:dyDescent="0.3">
      <c r="A17" t="s">
        <v>90</v>
      </c>
      <c r="B17" s="1">
        <v>46081</v>
      </c>
      <c r="C17" t="s">
        <v>20</v>
      </c>
      <c r="D17" t="s">
        <v>21</v>
      </c>
      <c r="E17" t="s">
        <v>91</v>
      </c>
      <c r="F17" t="s">
        <v>83</v>
      </c>
      <c r="G17" t="s">
        <v>24</v>
      </c>
      <c r="H17" t="s">
        <v>25</v>
      </c>
      <c r="I17" t="s">
        <v>26</v>
      </c>
      <c r="J17">
        <v>22</v>
      </c>
      <c r="K17">
        <v>95</v>
      </c>
      <c r="L17">
        <v>26.7</v>
      </c>
      <c r="M17" t="s">
        <v>64</v>
      </c>
      <c r="N17" t="s">
        <v>28</v>
      </c>
      <c r="O17">
        <v>534</v>
      </c>
      <c r="P17">
        <v>48.5</v>
      </c>
      <c r="Q17" t="s">
        <v>80</v>
      </c>
      <c r="R17">
        <v>634.13</v>
      </c>
      <c r="S17" t="s">
        <v>30</v>
      </c>
    </row>
    <row r="18" spans="1:19" x14ac:dyDescent="0.3">
      <c r="A18" t="s">
        <v>92</v>
      </c>
      <c r="B18" s="1">
        <v>46085</v>
      </c>
      <c r="C18" t="s">
        <v>56</v>
      </c>
      <c r="D18" t="s">
        <v>57</v>
      </c>
      <c r="E18" t="s">
        <v>93</v>
      </c>
      <c r="F18" t="s">
        <v>23</v>
      </c>
      <c r="G18" t="s">
        <v>47</v>
      </c>
      <c r="H18" t="s">
        <v>48</v>
      </c>
      <c r="I18" t="s">
        <v>26</v>
      </c>
      <c r="J18">
        <v>120</v>
      </c>
      <c r="K18">
        <v>42</v>
      </c>
      <c r="L18">
        <v>36.4</v>
      </c>
      <c r="M18" t="s">
        <v>54</v>
      </c>
      <c r="N18" t="s">
        <v>28</v>
      </c>
      <c r="O18">
        <v>728</v>
      </c>
      <c r="P18">
        <v>89.4</v>
      </c>
      <c r="Q18" t="s">
        <v>29</v>
      </c>
      <c r="R18">
        <v>864.51</v>
      </c>
      <c r="S18" t="s">
        <v>30</v>
      </c>
    </row>
    <row r="19" spans="1:19" x14ac:dyDescent="0.3">
      <c r="A19" t="s">
        <v>94</v>
      </c>
      <c r="B19" s="1">
        <v>46126</v>
      </c>
      <c r="C19" t="s">
        <v>20</v>
      </c>
      <c r="D19" t="s">
        <v>21</v>
      </c>
      <c r="E19" t="s">
        <v>91</v>
      </c>
      <c r="F19" t="s">
        <v>63</v>
      </c>
      <c r="G19" t="s">
        <v>36</v>
      </c>
      <c r="H19" t="s">
        <v>48</v>
      </c>
      <c r="I19" t="s">
        <v>26</v>
      </c>
      <c r="J19">
        <v>180</v>
      </c>
      <c r="K19">
        <v>27</v>
      </c>
      <c r="L19">
        <v>38.1</v>
      </c>
      <c r="M19" t="s">
        <v>27</v>
      </c>
      <c r="N19" t="s">
        <v>28</v>
      </c>
      <c r="O19">
        <v>762</v>
      </c>
      <c r="P19">
        <v>46.6</v>
      </c>
      <c r="Q19" t="s">
        <v>49</v>
      </c>
      <c r="R19">
        <v>904.88</v>
      </c>
      <c r="S19" t="s">
        <v>30</v>
      </c>
    </row>
    <row r="20" spans="1:19" x14ac:dyDescent="0.3">
      <c r="A20" t="s">
        <v>95</v>
      </c>
      <c r="B20" s="1">
        <v>46136</v>
      </c>
      <c r="C20" t="s">
        <v>32</v>
      </c>
      <c r="D20" t="s">
        <v>33</v>
      </c>
      <c r="E20" t="s">
        <v>96</v>
      </c>
      <c r="F20" t="s">
        <v>63</v>
      </c>
      <c r="G20" t="s">
        <v>36</v>
      </c>
      <c r="H20" t="s">
        <v>37</v>
      </c>
      <c r="I20" t="s">
        <v>26</v>
      </c>
      <c r="J20">
        <v>180</v>
      </c>
      <c r="K20">
        <v>15</v>
      </c>
      <c r="L20">
        <v>35.200000000000003</v>
      </c>
      <c r="M20" t="s">
        <v>54</v>
      </c>
      <c r="N20" t="s">
        <v>28</v>
      </c>
      <c r="O20">
        <v>704</v>
      </c>
      <c r="P20">
        <v>48.5</v>
      </c>
      <c r="Q20" t="s">
        <v>49</v>
      </c>
      <c r="R20">
        <v>836.01</v>
      </c>
      <c r="S20" t="s">
        <v>30</v>
      </c>
    </row>
    <row r="21" spans="1:19" x14ac:dyDescent="0.3">
      <c r="A21" t="s">
        <v>97</v>
      </c>
      <c r="B21" s="1">
        <v>46120</v>
      </c>
      <c r="C21" t="s">
        <v>43</v>
      </c>
      <c r="D21" t="s">
        <v>44</v>
      </c>
      <c r="E21" t="s">
        <v>45</v>
      </c>
      <c r="F21" t="s">
        <v>46</v>
      </c>
      <c r="G21" t="s">
        <v>24</v>
      </c>
      <c r="H21" t="s">
        <v>25</v>
      </c>
      <c r="I21" t="s">
        <v>53</v>
      </c>
      <c r="J21">
        <v>11</v>
      </c>
      <c r="K21">
        <v>143</v>
      </c>
      <c r="L21">
        <v>0</v>
      </c>
      <c r="M21" t="s">
        <v>64</v>
      </c>
      <c r="N21" t="s">
        <v>98</v>
      </c>
      <c r="O21">
        <v>0</v>
      </c>
      <c r="P21">
        <v>41.3</v>
      </c>
      <c r="Q21" t="s">
        <v>49</v>
      </c>
      <c r="R21">
        <v>0</v>
      </c>
      <c r="S21" t="s">
        <v>41</v>
      </c>
    </row>
    <row r="22" spans="1:19" x14ac:dyDescent="0.3">
      <c r="A22" t="s">
        <v>99</v>
      </c>
      <c r="B22" s="1">
        <v>46071</v>
      </c>
      <c r="C22" t="s">
        <v>85</v>
      </c>
      <c r="D22" t="s">
        <v>86</v>
      </c>
      <c r="E22" t="s">
        <v>100</v>
      </c>
      <c r="F22" t="s">
        <v>46</v>
      </c>
      <c r="G22" t="s">
        <v>47</v>
      </c>
      <c r="H22" t="s">
        <v>37</v>
      </c>
      <c r="I22" t="s">
        <v>26</v>
      </c>
      <c r="J22">
        <v>30</v>
      </c>
      <c r="K22">
        <v>23</v>
      </c>
      <c r="L22">
        <v>47.1</v>
      </c>
      <c r="M22" t="s">
        <v>54</v>
      </c>
      <c r="N22" t="s">
        <v>28</v>
      </c>
      <c r="O22">
        <v>1036.2</v>
      </c>
      <c r="P22">
        <v>92.9</v>
      </c>
      <c r="Q22" t="s">
        <v>80</v>
      </c>
      <c r="R22">
        <v>1230.5</v>
      </c>
      <c r="S22" t="s">
        <v>30</v>
      </c>
    </row>
    <row r="23" spans="1:19" x14ac:dyDescent="0.3">
      <c r="A23" t="s">
        <v>101</v>
      </c>
      <c r="B23" s="1">
        <v>46153</v>
      </c>
      <c r="C23" t="s">
        <v>61</v>
      </c>
      <c r="D23" t="s">
        <v>33</v>
      </c>
      <c r="E23" t="s">
        <v>102</v>
      </c>
      <c r="F23" t="s">
        <v>46</v>
      </c>
      <c r="G23" t="s">
        <v>24</v>
      </c>
      <c r="H23" t="s">
        <v>25</v>
      </c>
      <c r="I23" t="s">
        <v>26</v>
      </c>
      <c r="J23">
        <v>7</v>
      </c>
      <c r="K23">
        <v>95</v>
      </c>
      <c r="L23">
        <v>0</v>
      </c>
      <c r="M23" t="s">
        <v>54</v>
      </c>
      <c r="N23" t="s">
        <v>39</v>
      </c>
      <c r="O23">
        <v>0</v>
      </c>
      <c r="P23">
        <v>28.2</v>
      </c>
      <c r="Q23" t="s">
        <v>40</v>
      </c>
      <c r="R23">
        <v>0</v>
      </c>
      <c r="S23" t="s">
        <v>41</v>
      </c>
    </row>
    <row r="24" spans="1:19" x14ac:dyDescent="0.3">
      <c r="A24" t="s">
        <v>103</v>
      </c>
      <c r="B24" s="1">
        <v>46043</v>
      </c>
      <c r="C24" t="s">
        <v>32</v>
      </c>
      <c r="D24" t="s">
        <v>33</v>
      </c>
      <c r="E24" t="s">
        <v>104</v>
      </c>
      <c r="F24" t="s">
        <v>23</v>
      </c>
      <c r="G24" t="s">
        <v>47</v>
      </c>
      <c r="H24" t="s">
        <v>48</v>
      </c>
      <c r="I24" t="s">
        <v>53</v>
      </c>
      <c r="J24">
        <v>50</v>
      </c>
      <c r="K24">
        <v>36</v>
      </c>
      <c r="L24">
        <v>34.5</v>
      </c>
      <c r="M24" t="s">
        <v>27</v>
      </c>
      <c r="N24" t="s">
        <v>28</v>
      </c>
      <c r="O24">
        <v>621</v>
      </c>
      <c r="P24">
        <v>63.8</v>
      </c>
      <c r="Q24" t="s">
        <v>59</v>
      </c>
      <c r="R24">
        <v>737.44</v>
      </c>
      <c r="S24" t="s">
        <v>30</v>
      </c>
    </row>
    <row r="25" spans="1:19" x14ac:dyDescent="0.3">
      <c r="A25" t="s">
        <v>105</v>
      </c>
      <c r="B25" s="1">
        <v>46167</v>
      </c>
      <c r="C25" t="s">
        <v>43</v>
      </c>
      <c r="D25" t="s">
        <v>44</v>
      </c>
      <c r="E25" t="s">
        <v>106</v>
      </c>
      <c r="F25" t="s">
        <v>23</v>
      </c>
      <c r="G25" t="s">
        <v>24</v>
      </c>
      <c r="H25" t="s">
        <v>25</v>
      </c>
      <c r="I25" t="s">
        <v>26</v>
      </c>
      <c r="J25">
        <v>11</v>
      </c>
      <c r="K25">
        <v>68</v>
      </c>
      <c r="L25">
        <v>0</v>
      </c>
      <c r="M25" t="s">
        <v>27</v>
      </c>
      <c r="N25" t="s">
        <v>39</v>
      </c>
      <c r="O25">
        <v>0</v>
      </c>
      <c r="P25">
        <v>52</v>
      </c>
      <c r="Q25" t="s">
        <v>40</v>
      </c>
      <c r="R25">
        <v>0</v>
      </c>
      <c r="S25" t="s">
        <v>41</v>
      </c>
    </row>
    <row r="26" spans="1:19" x14ac:dyDescent="0.3">
      <c r="A26" t="s">
        <v>107</v>
      </c>
      <c r="B26" s="1">
        <v>46095</v>
      </c>
      <c r="C26" t="s">
        <v>32</v>
      </c>
      <c r="D26" t="s">
        <v>33</v>
      </c>
      <c r="E26" t="s">
        <v>108</v>
      </c>
      <c r="F26" t="s">
        <v>46</v>
      </c>
      <c r="G26" t="s">
        <v>24</v>
      </c>
      <c r="H26" t="s">
        <v>25</v>
      </c>
      <c r="I26" t="s">
        <v>53</v>
      </c>
      <c r="J26">
        <v>22</v>
      </c>
      <c r="K26">
        <v>170</v>
      </c>
      <c r="L26">
        <v>0</v>
      </c>
      <c r="M26" t="s">
        <v>64</v>
      </c>
      <c r="N26" t="s">
        <v>39</v>
      </c>
      <c r="O26">
        <v>0</v>
      </c>
      <c r="P26">
        <v>10.4</v>
      </c>
      <c r="Q26" t="s">
        <v>29</v>
      </c>
      <c r="R26">
        <v>0</v>
      </c>
      <c r="S26" t="s">
        <v>41</v>
      </c>
    </row>
    <row r="27" spans="1:19" x14ac:dyDescent="0.3">
      <c r="A27" t="s">
        <v>109</v>
      </c>
      <c r="B27" s="1">
        <v>46057</v>
      </c>
      <c r="C27" t="s">
        <v>51</v>
      </c>
      <c r="D27" t="s">
        <v>51</v>
      </c>
      <c r="E27" t="s">
        <v>110</v>
      </c>
      <c r="F27" t="s">
        <v>35</v>
      </c>
      <c r="G27" t="s">
        <v>47</v>
      </c>
      <c r="H27" t="s">
        <v>37</v>
      </c>
      <c r="I27" t="s">
        <v>26</v>
      </c>
      <c r="J27">
        <v>60</v>
      </c>
      <c r="K27">
        <v>58</v>
      </c>
      <c r="L27">
        <v>22.1</v>
      </c>
      <c r="M27" t="s">
        <v>27</v>
      </c>
      <c r="N27" t="s">
        <v>28</v>
      </c>
      <c r="O27">
        <v>397.8</v>
      </c>
      <c r="P27">
        <v>47.8</v>
      </c>
      <c r="Q27" t="s">
        <v>80</v>
      </c>
      <c r="R27">
        <v>472.39</v>
      </c>
      <c r="S27" t="s">
        <v>30</v>
      </c>
    </row>
    <row r="28" spans="1:19" x14ac:dyDescent="0.3">
      <c r="A28" t="s">
        <v>111</v>
      </c>
      <c r="B28" s="1">
        <v>46087</v>
      </c>
      <c r="C28" t="s">
        <v>77</v>
      </c>
      <c r="D28" t="s">
        <v>78</v>
      </c>
      <c r="E28" t="s">
        <v>112</v>
      </c>
      <c r="F28" t="s">
        <v>35</v>
      </c>
      <c r="G28" t="s">
        <v>24</v>
      </c>
      <c r="H28" t="s">
        <v>25</v>
      </c>
      <c r="I28" t="s">
        <v>26</v>
      </c>
      <c r="J28">
        <v>7</v>
      </c>
      <c r="K28">
        <v>35</v>
      </c>
      <c r="L28">
        <v>30.3</v>
      </c>
      <c r="M28" t="s">
        <v>71</v>
      </c>
      <c r="N28" t="s">
        <v>28</v>
      </c>
      <c r="O28">
        <v>484.8</v>
      </c>
      <c r="P28">
        <v>75.099999999999994</v>
      </c>
      <c r="Q28" t="s">
        <v>29</v>
      </c>
      <c r="R28">
        <v>575.71</v>
      </c>
      <c r="S28" t="s">
        <v>30</v>
      </c>
    </row>
    <row r="29" spans="1:19" x14ac:dyDescent="0.3">
      <c r="A29" t="s">
        <v>113</v>
      </c>
      <c r="B29" s="1">
        <v>46164</v>
      </c>
      <c r="C29" t="s">
        <v>61</v>
      </c>
      <c r="D29" t="s">
        <v>33</v>
      </c>
      <c r="E29" t="s">
        <v>114</v>
      </c>
      <c r="F29" t="s">
        <v>35</v>
      </c>
      <c r="G29" t="s">
        <v>36</v>
      </c>
      <c r="H29" t="s">
        <v>48</v>
      </c>
      <c r="I29" t="s">
        <v>38</v>
      </c>
      <c r="J29">
        <v>150</v>
      </c>
      <c r="K29">
        <v>40</v>
      </c>
      <c r="L29">
        <v>67.2</v>
      </c>
      <c r="M29" t="s">
        <v>54</v>
      </c>
      <c r="N29" t="s">
        <v>28</v>
      </c>
      <c r="O29">
        <v>1075.2</v>
      </c>
      <c r="P29">
        <v>69.400000000000006</v>
      </c>
      <c r="Q29" t="s">
        <v>40</v>
      </c>
      <c r="R29">
        <v>1276.81</v>
      </c>
      <c r="S29" t="s">
        <v>30</v>
      </c>
    </row>
    <row r="30" spans="1:19" x14ac:dyDescent="0.3">
      <c r="A30" t="s">
        <v>115</v>
      </c>
      <c r="B30" s="1">
        <v>46133</v>
      </c>
      <c r="C30" t="s">
        <v>56</v>
      </c>
      <c r="D30" t="s">
        <v>57</v>
      </c>
      <c r="E30" t="s">
        <v>116</v>
      </c>
      <c r="F30" t="s">
        <v>35</v>
      </c>
      <c r="G30" t="s">
        <v>24</v>
      </c>
      <c r="H30" t="s">
        <v>25</v>
      </c>
      <c r="I30" t="s">
        <v>26</v>
      </c>
      <c r="J30">
        <v>7</v>
      </c>
      <c r="K30">
        <v>126</v>
      </c>
      <c r="L30">
        <v>22.1</v>
      </c>
      <c r="M30" t="s">
        <v>64</v>
      </c>
      <c r="N30" t="s">
        <v>28</v>
      </c>
      <c r="O30">
        <v>353.6</v>
      </c>
      <c r="P30">
        <v>77</v>
      </c>
      <c r="Q30" t="s">
        <v>49</v>
      </c>
      <c r="R30">
        <v>419.9</v>
      </c>
      <c r="S30" t="s">
        <v>30</v>
      </c>
    </row>
    <row r="31" spans="1:19" x14ac:dyDescent="0.3">
      <c r="A31" t="s">
        <v>117</v>
      </c>
      <c r="B31" s="1">
        <v>46062</v>
      </c>
      <c r="C31" t="s">
        <v>77</v>
      </c>
      <c r="D31" t="s">
        <v>78</v>
      </c>
      <c r="E31" t="s">
        <v>118</v>
      </c>
      <c r="F31" t="s">
        <v>35</v>
      </c>
      <c r="G31" t="s">
        <v>24</v>
      </c>
      <c r="H31" t="s">
        <v>25</v>
      </c>
      <c r="I31" t="s">
        <v>26</v>
      </c>
      <c r="J31">
        <v>7</v>
      </c>
      <c r="K31">
        <v>80</v>
      </c>
      <c r="L31">
        <v>0</v>
      </c>
      <c r="M31" t="s">
        <v>27</v>
      </c>
      <c r="N31" t="s">
        <v>98</v>
      </c>
      <c r="O31">
        <v>0</v>
      </c>
      <c r="P31">
        <v>43.1</v>
      </c>
      <c r="Q31" t="s">
        <v>80</v>
      </c>
      <c r="R31">
        <v>0</v>
      </c>
      <c r="S31" t="s">
        <v>41</v>
      </c>
    </row>
    <row r="32" spans="1:19" x14ac:dyDescent="0.3">
      <c r="A32" t="s">
        <v>119</v>
      </c>
      <c r="B32" s="1">
        <v>46091</v>
      </c>
      <c r="C32" t="s">
        <v>120</v>
      </c>
      <c r="D32" t="s">
        <v>121</v>
      </c>
      <c r="E32" t="s">
        <v>122</v>
      </c>
      <c r="F32" t="s">
        <v>63</v>
      </c>
      <c r="G32" t="s">
        <v>24</v>
      </c>
      <c r="H32" t="s">
        <v>25</v>
      </c>
      <c r="I32" t="s">
        <v>38</v>
      </c>
      <c r="J32">
        <v>7</v>
      </c>
      <c r="K32">
        <v>155</v>
      </c>
      <c r="L32">
        <v>0</v>
      </c>
      <c r="M32" t="s">
        <v>54</v>
      </c>
      <c r="N32" t="s">
        <v>98</v>
      </c>
      <c r="O32">
        <v>0</v>
      </c>
      <c r="P32">
        <v>20</v>
      </c>
      <c r="Q32" t="s">
        <v>29</v>
      </c>
      <c r="R32">
        <v>0</v>
      </c>
      <c r="S32" t="s">
        <v>41</v>
      </c>
    </row>
    <row r="33" spans="1:19" x14ac:dyDescent="0.3">
      <c r="A33" t="s">
        <v>123</v>
      </c>
      <c r="B33" s="1">
        <v>46081</v>
      </c>
      <c r="C33" t="s">
        <v>124</v>
      </c>
      <c r="D33" t="s">
        <v>125</v>
      </c>
      <c r="E33" t="s">
        <v>126</v>
      </c>
      <c r="F33" t="s">
        <v>35</v>
      </c>
      <c r="G33" t="s">
        <v>24</v>
      </c>
      <c r="H33" t="s">
        <v>25</v>
      </c>
      <c r="I33" t="s">
        <v>26</v>
      </c>
      <c r="J33">
        <v>11</v>
      </c>
      <c r="K33">
        <v>106</v>
      </c>
      <c r="L33">
        <v>0</v>
      </c>
      <c r="M33" t="s">
        <v>27</v>
      </c>
      <c r="N33" t="s">
        <v>98</v>
      </c>
      <c r="O33">
        <v>0</v>
      </c>
      <c r="P33">
        <v>48.9</v>
      </c>
      <c r="Q33" t="s">
        <v>80</v>
      </c>
      <c r="R33">
        <v>0</v>
      </c>
      <c r="S33" t="s">
        <v>41</v>
      </c>
    </row>
    <row r="34" spans="1:19" x14ac:dyDescent="0.3">
      <c r="A34" t="s">
        <v>127</v>
      </c>
      <c r="B34" s="1">
        <v>46125</v>
      </c>
      <c r="C34" t="s">
        <v>124</v>
      </c>
      <c r="D34" t="s">
        <v>125</v>
      </c>
      <c r="E34" t="s">
        <v>128</v>
      </c>
      <c r="F34" t="s">
        <v>46</v>
      </c>
      <c r="G34" t="s">
        <v>36</v>
      </c>
      <c r="H34" t="s">
        <v>48</v>
      </c>
      <c r="I34" t="s">
        <v>26</v>
      </c>
      <c r="J34">
        <v>180</v>
      </c>
      <c r="K34">
        <v>28</v>
      </c>
      <c r="L34">
        <v>72.5</v>
      </c>
      <c r="M34" t="s">
        <v>54</v>
      </c>
      <c r="N34" t="s">
        <v>28</v>
      </c>
      <c r="O34">
        <v>1305</v>
      </c>
      <c r="P34">
        <v>37.4</v>
      </c>
      <c r="Q34" t="s">
        <v>49</v>
      </c>
      <c r="R34">
        <v>1549.7</v>
      </c>
      <c r="S34" t="s">
        <v>30</v>
      </c>
    </row>
    <row r="35" spans="1:19" x14ac:dyDescent="0.3">
      <c r="A35" t="s">
        <v>129</v>
      </c>
      <c r="B35" s="1">
        <v>46103</v>
      </c>
      <c r="C35" t="s">
        <v>120</v>
      </c>
      <c r="D35" t="s">
        <v>121</v>
      </c>
      <c r="E35" t="s">
        <v>130</v>
      </c>
      <c r="F35" t="s">
        <v>46</v>
      </c>
      <c r="G35" t="s">
        <v>47</v>
      </c>
      <c r="H35" t="s">
        <v>37</v>
      </c>
      <c r="I35" t="s">
        <v>53</v>
      </c>
      <c r="J35">
        <v>30</v>
      </c>
      <c r="K35">
        <v>65</v>
      </c>
      <c r="L35">
        <v>37.200000000000003</v>
      </c>
      <c r="M35" t="s">
        <v>27</v>
      </c>
      <c r="N35" t="s">
        <v>28</v>
      </c>
      <c r="O35">
        <v>818.4</v>
      </c>
      <c r="P35">
        <v>93.3</v>
      </c>
      <c r="Q35" t="s">
        <v>29</v>
      </c>
      <c r="R35">
        <v>971.86</v>
      </c>
      <c r="S35" t="s">
        <v>30</v>
      </c>
    </row>
    <row r="36" spans="1:19" x14ac:dyDescent="0.3">
      <c r="A36" t="s">
        <v>131</v>
      </c>
      <c r="B36" s="1">
        <v>46133</v>
      </c>
      <c r="C36" t="s">
        <v>32</v>
      </c>
      <c r="D36" t="s">
        <v>33</v>
      </c>
      <c r="E36" t="s">
        <v>108</v>
      </c>
      <c r="F36" t="s">
        <v>35</v>
      </c>
      <c r="G36" t="s">
        <v>24</v>
      </c>
      <c r="H36" t="s">
        <v>25</v>
      </c>
      <c r="I36" t="s">
        <v>38</v>
      </c>
      <c r="J36">
        <v>11</v>
      </c>
      <c r="K36">
        <v>66</v>
      </c>
      <c r="L36">
        <v>0</v>
      </c>
      <c r="M36" t="s">
        <v>64</v>
      </c>
      <c r="N36" t="s">
        <v>39</v>
      </c>
      <c r="O36">
        <v>0</v>
      </c>
      <c r="P36">
        <v>42.4</v>
      </c>
      <c r="Q36" t="s">
        <v>49</v>
      </c>
      <c r="R36">
        <v>0</v>
      </c>
      <c r="S36" t="s">
        <v>41</v>
      </c>
    </row>
    <row r="37" spans="1:19" x14ac:dyDescent="0.3">
      <c r="A37" t="s">
        <v>132</v>
      </c>
      <c r="B37" s="1">
        <v>46127</v>
      </c>
      <c r="C37" t="s">
        <v>77</v>
      </c>
      <c r="D37" t="s">
        <v>78</v>
      </c>
      <c r="E37" t="s">
        <v>133</v>
      </c>
      <c r="F37" t="s">
        <v>63</v>
      </c>
      <c r="G37" t="s">
        <v>47</v>
      </c>
      <c r="H37" t="s">
        <v>48</v>
      </c>
      <c r="I37" t="s">
        <v>38</v>
      </c>
      <c r="J37">
        <v>50</v>
      </c>
      <c r="K37">
        <v>32</v>
      </c>
      <c r="L37">
        <v>0</v>
      </c>
      <c r="M37" t="s">
        <v>64</v>
      </c>
      <c r="N37" t="s">
        <v>39</v>
      </c>
      <c r="O37">
        <v>0</v>
      </c>
      <c r="P37">
        <v>28.9</v>
      </c>
      <c r="Q37" t="s">
        <v>49</v>
      </c>
      <c r="R37">
        <v>0</v>
      </c>
      <c r="S37" t="s">
        <v>41</v>
      </c>
    </row>
    <row r="38" spans="1:19" x14ac:dyDescent="0.3">
      <c r="A38" t="s">
        <v>134</v>
      </c>
      <c r="B38" s="1">
        <v>46126</v>
      </c>
      <c r="C38" t="s">
        <v>61</v>
      </c>
      <c r="D38" t="s">
        <v>33</v>
      </c>
      <c r="E38" t="s">
        <v>135</v>
      </c>
      <c r="F38" t="s">
        <v>63</v>
      </c>
      <c r="G38" t="s">
        <v>36</v>
      </c>
      <c r="H38" t="s">
        <v>37</v>
      </c>
      <c r="I38" t="s">
        <v>53</v>
      </c>
      <c r="J38">
        <v>350</v>
      </c>
      <c r="K38">
        <v>35</v>
      </c>
      <c r="L38">
        <v>46.9</v>
      </c>
      <c r="M38" t="s">
        <v>64</v>
      </c>
      <c r="N38" t="s">
        <v>28</v>
      </c>
      <c r="O38">
        <v>844.2</v>
      </c>
      <c r="P38">
        <v>64.3</v>
      </c>
      <c r="Q38" t="s">
        <v>49</v>
      </c>
      <c r="R38">
        <v>1002.5</v>
      </c>
      <c r="S38" t="s">
        <v>30</v>
      </c>
    </row>
    <row r="39" spans="1:19" x14ac:dyDescent="0.3">
      <c r="A39" t="s">
        <v>136</v>
      </c>
      <c r="B39" s="1">
        <v>46144</v>
      </c>
      <c r="C39" t="s">
        <v>32</v>
      </c>
      <c r="D39" t="s">
        <v>33</v>
      </c>
      <c r="E39" t="s">
        <v>137</v>
      </c>
      <c r="F39" t="s">
        <v>83</v>
      </c>
      <c r="G39" t="s">
        <v>36</v>
      </c>
      <c r="H39" t="s">
        <v>37</v>
      </c>
      <c r="I39" t="s">
        <v>38</v>
      </c>
      <c r="J39">
        <v>240</v>
      </c>
      <c r="K39">
        <v>12</v>
      </c>
      <c r="L39">
        <v>62.8</v>
      </c>
      <c r="M39" t="s">
        <v>54</v>
      </c>
      <c r="N39" t="s">
        <v>28</v>
      </c>
      <c r="O39">
        <v>1004.8</v>
      </c>
      <c r="P39">
        <v>77.400000000000006</v>
      </c>
      <c r="Q39" t="s">
        <v>40</v>
      </c>
      <c r="R39">
        <v>1193.21</v>
      </c>
      <c r="S39" t="s">
        <v>30</v>
      </c>
    </row>
    <row r="40" spans="1:19" x14ac:dyDescent="0.3">
      <c r="A40" t="s">
        <v>138</v>
      </c>
      <c r="B40" s="1">
        <v>46029</v>
      </c>
      <c r="C40" t="s">
        <v>32</v>
      </c>
      <c r="D40" t="s">
        <v>33</v>
      </c>
      <c r="E40" t="s">
        <v>139</v>
      </c>
      <c r="F40" t="s">
        <v>46</v>
      </c>
      <c r="G40" t="s">
        <v>24</v>
      </c>
      <c r="H40" t="s">
        <v>25</v>
      </c>
      <c r="I40" t="s">
        <v>26</v>
      </c>
      <c r="J40">
        <v>7</v>
      </c>
      <c r="K40">
        <v>151</v>
      </c>
      <c r="L40">
        <v>0</v>
      </c>
      <c r="M40" t="s">
        <v>71</v>
      </c>
      <c r="N40" t="s">
        <v>39</v>
      </c>
      <c r="O40">
        <v>0</v>
      </c>
      <c r="P40">
        <v>28.6</v>
      </c>
      <c r="Q40" t="s">
        <v>59</v>
      </c>
      <c r="R40">
        <v>0</v>
      </c>
      <c r="S40" t="s">
        <v>41</v>
      </c>
    </row>
    <row r="41" spans="1:19" x14ac:dyDescent="0.3">
      <c r="A41" t="s">
        <v>140</v>
      </c>
      <c r="B41" s="1">
        <v>46149</v>
      </c>
      <c r="C41" t="s">
        <v>32</v>
      </c>
      <c r="D41" t="s">
        <v>33</v>
      </c>
      <c r="E41" t="s">
        <v>141</v>
      </c>
      <c r="F41" t="s">
        <v>46</v>
      </c>
      <c r="G41" t="s">
        <v>47</v>
      </c>
      <c r="H41" t="s">
        <v>37</v>
      </c>
      <c r="I41" t="s">
        <v>26</v>
      </c>
      <c r="J41">
        <v>120</v>
      </c>
      <c r="K41">
        <v>34</v>
      </c>
      <c r="L41">
        <v>19.8</v>
      </c>
      <c r="M41" t="s">
        <v>54</v>
      </c>
      <c r="N41" t="s">
        <v>28</v>
      </c>
      <c r="O41">
        <v>435.6</v>
      </c>
      <c r="P41">
        <v>64.3</v>
      </c>
      <c r="Q41" t="s">
        <v>40</v>
      </c>
      <c r="R41">
        <v>517.28</v>
      </c>
      <c r="S41" t="s">
        <v>30</v>
      </c>
    </row>
    <row r="42" spans="1:19" x14ac:dyDescent="0.3">
      <c r="A42" t="s">
        <v>142</v>
      </c>
      <c r="B42" s="1">
        <v>46139</v>
      </c>
      <c r="C42" t="s">
        <v>32</v>
      </c>
      <c r="D42" t="s">
        <v>33</v>
      </c>
      <c r="E42" t="s">
        <v>143</v>
      </c>
      <c r="F42" t="s">
        <v>46</v>
      </c>
      <c r="G42" t="s">
        <v>24</v>
      </c>
      <c r="H42" t="s">
        <v>25</v>
      </c>
      <c r="I42" t="s">
        <v>53</v>
      </c>
      <c r="J42">
        <v>22</v>
      </c>
      <c r="K42">
        <v>164</v>
      </c>
      <c r="L42">
        <v>0</v>
      </c>
      <c r="M42" t="s">
        <v>64</v>
      </c>
      <c r="N42" t="s">
        <v>98</v>
      </c>
      <c r="O42">
        <v>0</v>
      </c>
      <c r="P42">
        <v>29.2</v>
      </c>
      <c r="Q42" t="s">
        <v>49</v>
      </c>
      <c r="R42">
        <v>0</v>
      </c>
      <c r="S42" t="s">
        <v>41</v>
      </c>
    </row>
    <row r="43" spans="1:19" x14ac:dyDescent="0.3">
      <c r="A43" t="s">
        <v>144</v>
      </c>
      <c r="B43" s="1">
        <v>46144</v>
      </c>
      <c r="C43" t="s">
        <v>85</v>
      </c>
      <c r="D43" t="s">
        <v>86</v>
      </c>
      <c r="E43" t="s">
        <v>87</v>
      </c>
      <c r="F43" t="s">
        <v>63</v>
      </c>
      <c r="G43" t="s">
        <v>47</v>
      </c>
      <c r="H43" t="s">
        <v>48</v>
      </c>
      <c r="I43" t="s">
        <v>26</v>
      </c>
      <c r="J43">
        <v>120</v>
      </c>
      <c r="K43">
        <v>60</v>
      </c>
      <c r="L43">
        <v>0</v>
      </c>
      <c r="M43" t="s">
        <v>64</v>
      </c>
      <c r="N43" t="s">
        <v>39</v>
      </c>
      <c r="O43">
        <v>0</v>
      </c>
      <c r="P43">
        <v>20.8</v>
      </c>
      <c r="Q43" t="s">
        <v>40</v>
      </c>
      <c r="R43">
        <v>0</v>
      </c>
      <c r="S43" t="s">
        <v>41</v>
      </c>
    </row>
    <row r="44" spans="1:19" x14ac:dyDescent="0.3">
      <c r="A44" t="s">
        <v>145</v>
      </c>
      <c r="B44" s="1">
        <v>46083</v>
      </c>
      <c r="C44" t="s">
        <v>20</v>
      </c>
      <c r="D44" t="s">
        <v>21</v>
      </c>
      <c r="E44" t="s">
        <v>146</v>
      </c>
      <c r="F44" t="s">
        <v>23</v>
      </c>
      <c r="G44" t="s">
        <v>47</v>
      </c>
      <c r="H44" t="s">
        <v>48</v>
      </c>
      <c r="I44" t="s">
        <v>53</v>
      </c>
      <c r="J44">
        <v>50</v>
      </c>
      <c r="K44">
        <v>34</v>
      </c>
      <c r="L44">
        <v>33.700000000000003</v>
      </c>
      <c r="M44" t="s">
        <v>54</v>
      </c>
      <c r="N44" t="s">
        <v>28</v>
      </c>
      <c r="O44">
        <v>539.20000000000005</v>
      </c>
      <c r="P44">
        <v>79.5</v>
      </c>
      <c r="Q44" t="s">
        <v>29</v>
      </c>
      <c r="R44">
        <v>640.30999999999995</v>
      </c>
      <c r="S44" t="s">
        <v>30</v>
      </c>
    </row>
    <row r="45" spans="1:19" x14ac:dyDescent="0.3">
      <c r="A45" t="s">
        <v>147</v>
      </c>
      <c r="B45" s="1">
        <v>46107</v>
      </c>
      <c r="C45" t="s">
        <v>120</v>
      </c>
      <c r="D45" t="s">
        <v>121</v>
      </c>
      <c r="E45" t="s">
        <v>148</v>
      </c>
      <c r="F45" t="s">
        <v>23</v>
      </c>
      <c r="G45" t="s">
        <v>36</v>
      </c>
      <c r="H45" t="s">
        <v>48</v>
      </c>
      <c r="I45" t="s">
        <v>53</v>
      </c>
      <c r="J45">
        <v>350</v>
      </c>
      <c r="K45">
        <v>22</v>
      </c>
      <c r="L45">
        <v>68.599999999999994</v>
      </c>
      <c r="M45" t="s">
        <v>54</v>
      </c>
      <c r="N45" t="s">
        <v>28</v>
      </c>
      <c r="O45">
        <v>1509.2</v>
      </c>
      <c r="P45">
        <v>94.6</v>
      </c>
      <c r="Q45" t="s">
        <v>29</v>
      </c>
      <c r="R45">
        <v>1792.19</v>
      </c>
      <c r="S45" t="s">
        <v>30</v>
      </c>
    </row>
    <row r="46" spans="1:19" x14ac:dyDescent="0.3">
      <c r="A46" t="s">
        <v>149</v>
      </c>
      <c r="B46" s="1">
        <v>46145</v>
      </c>
      <c r="C46" t="s">
        <v>56</v>
      </c>
      <c r="D46" t="s">
        <v>57</v>
      </c>
      <c r="E46" t="s">
        <v>150</v>
      </c>
      <c r="F46" t="s">
        <v>46</v>
      </c>
      <c r="G46" t="s">
        <v>24</v>
      </c>
      <c r="H46" t="s">
        <v>25</v>
      </c>
      <c r="I46" t="s">
        <v>53</v>
      </c>
      <c r="J46">
        <v>11</v>
      </c>
      <c r="K46">
        <v>172</v>
      </c>
      <c r="L46">
        <v>0</v>
      </c>
      <c r="M46" t="s">
        <v>64</v>
      </c>
      <c r="N46" t="s">
        <v>98</v>
      </c>
      <c r="O46">
        <v>0</v>
      </c>
      <c r="P46">
        <v>43.6</v>
      </c>
      <c r="Q46" t="s">
        <v>40</v>
      </c>
      <c r="R46">
        <v>0</v>
      </c>
      <c r="S46" t="s">
        <v>41</v>
      </c>
    </row>
    <row r="47" spans="1:19" x14ac:dyDescent="0.3">
      <c r="A47" t="s">
        <v>151</v>
      </c>
      <c r="B47" s="1">
        <v>46147</v>
      </c>
      <c r="C47" t="s">
        <v>56</v>
      </c>
      <c r="D47" t="s">
        <v>57</v>
      </c>
      <c r="E47" t="s">
        <v>152</v>
      </c>
      <c r="F47" t="s">
        <v>63</v>
      </c>
      <c r="G47" t="s">
        <v>24</v>
      </c>
      <c r="H47" t="s">
        <v>25</v>
      </c>
      <c r="I47" t="s">
        <v>53</v>
      </c>
      <c r="J47">
        <v>7</v>
      </c>
      <c r="K47">
        <v>134</v>
      </c>
      <c r="L47">
        <v>0</v>
      </c>
      <c r="M47" t="s">
        <v>71</v>
      </c>
      <c r="N47" t="s">
        <v>98</v>
      </c>
      <c r="O47">
        <v>0</v>
      </c>
      <c r="P47">
        <v>25.1</v>
      </c>
      <c r="Q47" t="s">
        <v>40</v>
      </c>
      <c r="R47">
        <v>0</v>
      </c>
      <c r="S47" t="s">
        <v>41</v>
      </c>
    </row>
    <row r="48" spans="1:19" x14ac:dyDescent="0.3">
      <c r="A48" t="s">
        <v>153</v>
      </c>
      <c r="B48" s="1">
        <v>46055</v>
      </c>
      <c r="C48" t="s">
        <v>61</v>
      </c>
      <c r="D48" t="s">
        <v>33</v>
      </c>
      <c r="E48" t="s">
        <v>154</v>
      </c>
      <c r="F48" t="s">
        <v>63</v>
      </c>
      <c r="G48" t="s">
        <v>36</v>
      </c>
      <c r="H48" t="s">
        <v>37</v>
      </c>
      <c r="I48" t="s">
        <v>53</v>
      </c>
      <c r="J48">
        <v>350</v>
      </c>
      <c r="K48">
        <v>14</v>
      </c>
      <c r="L48">
        <v>66.099999999999994</v>
      </c>
      <c r="M48" t="s">
        <v>54</v>
      </c>
      <c r="N48" t="s">
        <v>28</v>
      </c>
      <c r="O48">
        <v>1057.5999999999999</v>
      </c>
      <c r="P48">
        <v>38.200000000000003</v>
      </c>
      <c r="Q48" t="s">
        <v>80</v>
      </c>
      <c r="R48">
        <v>1255.9100000000001</v>
      </c>
      <c r="S48" t="s">
        <v>30</v>
      </c>
    </row>
    <row r="49" spans="1:19" x14ac:dyDescent="0.3">
      <c r="A49" t="s">
        <v>155</v>
      </c>
      <c r="B49" s="1">
        <v>46139</v>
      </c>
      <c r="C49" t="s">
        <v>124</v>
      </c>
      <c r="D49" t="s">
        <v>125</v>
      </c>
      <c r="E49" t="s">
        <v>156</v>
      </c>
      <c r="F49" t="s">
        <v>23</v>
      </c>
      <c r="G49" t="s">
        <v>47</v>
      </c>
      <c r="H49" t="s">
        <v>48</v>
      </c>
      <c r="I49" t="s">
        <v>53</v>
      </c>
      <c r="J49">
        <v>60</v>
      </c>
      <c r="K49">
        <v>73</v>
      </c>
      <c r="L49">
        <v>0</v>
      </c>
      <c r="M49" t="s">
        <v>64</v>
      </c>
      <c r="N49" t="s">
        <v>98</v>
      </c>
      <c r="O49">
        <v>0</v>
      </c>
      <c r="P49">
        <v>13.7</v>
      </c>
      <c r="Q49" t="s">
        <v>49</v>
      </c>
      <c r="R49">
        <v>0</v>
      </c>
      <c r="S49" t="s">
        <v>41</v>
      </c>
    </row>
    <row r="50" spans="1:19" x14ac:dyDescent="0.3">
      <c r="A50" t="s">
        <v>157</v>
      </c>
      <c r="B50" s="1">
        <v>46112</v>
      </c>
      <c r="C50" t="s">
        <v>77</v>
      </c>
      <c r="D50" t="s">
        <v>78</v>
      </c>
      <c r="E50" t="s">
        <v>158</v>
      </c>
      <c r="F50" t="s">
        <v>83</v>
      </c>
      <c r="G50" t="s">
        <v>24</v>
      </c>
      <c r="H50" t="s">
        <v>25</v>
      </c>
      <c r="I50" t="s">
        <v>38</v>
      </c>
      <c r="J50">
        <v>7</v>
      </c>
      <c r="K50">
        <v>98</v>
      </c>
      <c r="L50">
        <v>21.4</v>
      </c>
      <c r="M50" t="s">
        <v>54</v>
      </c>
      <c r="N50" t="s">
        <v>28</v>
      </c>
      <c r="O50">
        <v>299.60000000000002</v>
      </c>
      <c r="P50">
        <v>74.099999999999994</v>
      </c>
      <c r="Q50" t="s">
        <v>29</v>
      </c>
      <c r="R50">
        <v>355.78</v>
      </c>
      <c r="S50" t="s">
        <v>30</v>
      </c>
    </row>
    <row r="51" spans="1:19" x14ac:dyDescent="0.3">
      <c r="A51" t="s">
        <v>159</v>
      </c>
      <c r="B51" s="1">
        <v>46052</v>
      </c>
      <c r="C51" t="s">
        <v>61</v>
      </c>
      <c r="D51" t="s">
        <v>33</v>
      </c>
      <c r="E51" t="s">
        <v>160</v>
      </c>
      <c r="F51" t="s">
        <v>83</v>
      </c>
      <c r="G51" t="s">
        <v>36</v>
      </c>
      <c r="H51" t="s">
        <v>37</v>
      </c>
      <c r="I51" t="s">
        <v>53</v>
      </c>
      <c r="J51">
        <v>180</v>
      </c>
      <c r="K51">
        <v>29</v>
      </c>
      <c r="L51">
        <v>48.7</v>
      </c>
      <c r="M51" t="s">
        <v>64</v>
      </c>
      <c r="N51" t="s">
        <v>28</v>
      </c>
      <c r="O51">
        <v>681.8</v>
      </c>
      <c r="P51">
        <v>84</v>
      </c>
      <c r="Q51" t="s">
        <v>59</v>
      </c>
      <c r="R51">
        <v>809.65</v>
      </c>
      <c r="S51" t="s">
        <v>30</v>
      </c>
    </row>
    <row r="52" spans="1:19" x14ac:dyDescent="0.3">
      <c r="A52" t="s">
        <v>161</v>
      </c>
      <c r="B52" s="1">
        <v>46171</v>
      </c>
      <c r="C52" t="s">
        <v>51</v>
      </c>
      <c r="D52" t="s">
        <v>51</v>
      </c>
      <c r="E52" t="s">
        <v>110</v>
      </c>
      <c r="F52" t="s">
        <v>83</v>
      </c>
      <c r="G52" t="s">
        <v>24</v>
      </c>
      <c r="H52" t="s">
        <v>25</v>
      </c>
      <c r="I52" t="s">
        <v>53</v>
      </c>
      <c r="J52">
        <v>22</v>
      </c>
      <c r="K52">
        <v>85</v>
      </c>
      <c r="L52">
        <v>0</v>
      </c>
      <c r="M52" t="s">
        <v>71</v>
      </c>
      <c r="N52" t="s">
        <v>98</v>
      </c>
      <c r="O52">
        <v>0</v>
      </c>
      <c r="P52">
        <v>13.4</v>
      </c>
      <c r="Q52" t="s">
        <v>40</v>
      </c>
      <c r="R52">
        <v>0</v>
      </c>
      <c r="S52" t="s">
        <v>41</v>
      </c>
    </row>
    <row r="53" spans="1:19" x14ac:dyDescent="0.3">
      <c r="A53" t="s">
        <v>162</v>
      </c>
      <c r="B53" s="1">
        <v>46053</v>
      </c>
      <c r="C53" t="s">
        <v>20</v>
      </c>
      <c r="D53" t="s">
        <v>21</v>
      </c>
      <c r="E53" t="s">
        <v>163</v>
      </c>
      <c r="F53" t="s">
        <v>63</v>
      </c>
      <c r="G53" t="s">
        <v>36</v>
      </c>
      <c r="H53" t="s">
        <v>37</v>
      </c>
      <c r="I53" t="s">
        <v>53</v>
      </c>
      <c r="J53">
        <v>150</v>
      </c>
      <c r="K53">
        <v>26</v>
      </c>
      <c r="L53">
        <v>51.4</v>
      </c>
      <c r="M53" t="s">
        <v>71</v>
      </c>
      <c r="N53" t="s">
        <v>28</v>
      </c>
      <c r="O53">
        <v>719.6</v>
      </c>
      <c r="P53">
        <v>88.5</v>
      </c>
      <c r="Q53" t="s">
        <v>59</v>
      </c>
      <c r="R53">
        <v>854.53</v>
      </c>
      <c r="S53" t="s">
        <v>30</v>
      </c>
    </row>
    <row r="54" spans="1:19" x14ac:dyDescent="0.3">
      <c r="A54" t="s">
        <v>164</v>
      </c>
      <c r="B54" s="1">
        <v>46115</v>
      </c>
      <c r="C54" t="s">
        <v>20</v>
      </c>
      <c r="D54" t="s">
        <v>21</v>
      </c>
      <c r="E54" t="s">
        <v>165</v>
      </c>
      <c r="F54" t="s">
        <v>35</v>
      </c>
      <c r="G54" t="s">
        <v>36</v>
      </c>
      <c r="H54" t="s">
        <v>48</v>
      </c>
      <c r="I54" t="s">
        <v>38</v>
      </c>
      <c r="J54">
        <v>180</v>
      </c>
      <c r="K54">
        <v>33</v>
      </c>
      <c r="L54">
        <v>0</v>
      </c>
      <c r="M54" t="s">
        <v>27</v>
      </c>
      <c r="N54" t="s">
        <v>98</v>
      </c>
      <c r="O54">
        <v>0</v>
      </c>
      <c r="P54">
        <v>33.5</v>
      </c>
      <c r="Q54" t="s">
        <v>49</v>
      </c>
      <c r="R54">
        <v>0</v>
      </c>
      <c r="S54" t="s">
        <v>41</v>
      </c>
    </row>
    <row r="55" spans="1:19" x14ac:dyDescent="0.3">
      <c r="A55" t="s">
        <v>166</v>
      </c>
      <c r="B55" s="1">
        <v>46146</v>
      </c>
      <c r="C55" t="s">
        <v>56</v>
      </c>
      <c r="D55" t="s">
        <v>57</v>
      </c>
      <c r="E55" t="s">
        <v>167</v>
      </c>
      <c r="F55" t="s">
        <v>83</v>
      </c>
      <c r="G55" t="s">
        <v>47</v>
      </c>
      <c r="H55" t="s">
        <v>48</v>
      </c>
      <c r="I55" t="s">
        <v>38</v>
      </c>
      <c r="J55">
        <v>50</v>
      </c>
      <c r="K55">
        <v>73</v>
      </c>
      <c r="L55">
        <v>70.599999999999994</v>
      </c>
      <c r="M55" t="s">
        <v>64</v>
      </c>
      <c r="N55" t="s">
        <v>28</v>
      </c>
      <c r="O55">
        <v>1270.8</v>
      </c>
      <c r="P55">
        <v>90.5</v>
      </c>
      <c r="Q55" t="s">
        <v>40</v>
      </c>
      <c r="R55">
        <v>1509.09</v>
      </c>
      <c r="S55" t="s">
        <v>30</v>
      </c>
    </row>
    <row r="56" spans="1:19" x14ac:dyDescent="0.3">
      <c r="A56" t="s">
        <v>168</v>
      </c>
      <c r="B56" s="1">
        <v>46109</v>
      </c>
      <c r="C56" t="s">
        <v>85</v>
      </c>
      <c r="D56" t="s">
        <v>86</v>
      </c>
      <c r="E56" t="s">
        <v>169</v>
      </c>
      <c r="F56" t="s">
        <v>46</v>
      </c>
      <c r="G56" t="s">
        <v>24</v>
      </c>
      <c r="H56" t="s">
        <v>25</v>
      </c>
      <c r="I56" t="s">
        <v>53</v>
      </c>
      <c r="J56">
        <v>11</v>
      </c>
      <c r="K56">
        <v>89</v>
      </c>
      <c r="L56">
        <v>31.8</v>
      </c>
      <c r="M56" t="s">
        <v>64</v>
      </c>
      <c r="N56" t="s">
        <v>28</v>
      </c>
      <c r="O56">
        <v>572.4</v>
      </c>
      <c r="P56">
        <v>56.4</v>
      </c>
      <c r="Q56" t="s">
        <v>29</v>
      </c>
      <c r="R56">
        <v>679.73</v>
      </c>
      <c r="S56" t="s">
        <v>30</v>
      </c>
    </row>
    <row r="57" spans="1:19" x14ac:dyDescent="0.3">
      <c r="A57" t="s">
        <v>170</v>
      </c>
      <c r="B57" s="1">
        <v>46155</v>
      </c>
      <c r="C57" t="s">
        <v>51</v>
      </c>
      <c r="D57" t="s">
        <v>51</v>
      </c>
      <c r="E57" t="s">
        <v>171</v>
      </c>
      <c r="F57" t="s">
        <v>63</v>
      </c>
      <c r="G57" t="s">
        <v>24</v>
      </c>
      <c r="H57" t="s">
        <v>25</v>
      </c>
      <c r="I57" t="s">
        <v>26</v>
      </c>
      <c r="J57">
        <v>11</v>
      </c>
      <c r="K57">
        <v>177</v>
      </c>
      <c r="L57">
        <v>0</v>
      </c>
      <c r="M57" t="s">
        <v>27</v>
      </c>
      <c r="N57" t="s">
        <v>98</v>
      </c>
      <c r="O57">
        <v>0</v>
      </c>
      <c r="P57">
        <v>44.1</v>
      </c>
      <c r="Q57" t="s">
        <v>40</v>
      </c>
      <c r="R57">
        <v>0</v>
      </c>
      <c r="S57" t="s">
        <v>41</v>
      </c>
    </row>
    <row r="58" spans="1:19" x14ac:dyDescent="0.3">
      <c r="A58" t="s">
        <v>172</v>
      </c>
      <c r="B58" s="1">
        <v>46027</v>
      </c>
      <c r="C58" t="s">
        <v>85</v>
      </c>
      <c r="D58" t="s">
        <v>86</v>
      </c>
      <c r="E58" t="s">
        <v>173</v>
      </c>
      <c r="F58" t="s">
        <v>46</v>
      </c>
      <c r="G58" t="s">
        <v>24</v>
      </c>
      <c r="H58" t="s">
        <v>25</v>
      </c>
      <c r="I58" t="s">
        <v>53</v>
      </c>
      <c r="J58">
        <v>22</v>
      </c>
      <c r="K58">
        <v>97</v>
      </c>
      <c r="L58">
        <v>0</v>
      </c>
      <c r="M58" t="s">
        <v>27</v>
      </c>
      <c r="N58" t="s">
        <v>98</v>
      </c>
      <c r="O58">
        <v>0</v>
      </c>
      <c r="P58">
        <v>23.8</v>
      </c>
      <c r="Q58" t="s">
        <v>59</v>
      </c>
      <c r="R58">
        <v>0</v>
      </c>
      <c r="S58" t="s">
        <v>41</v>
      </c>
    </row>
    <row r="59" spans="1:19" x14ac:dyDescent="0.3">
      <c r="A59" t="s">
        <v>174</v>
      </c>
      <c r="B59" s="1">
        <v>46164</v>
      </c>
      <c r="C59" t="s">
        <v>124</v>
      </c>
      <c r="D59" t="s">
        <v>125</v>
      </c>
      <c r="E59" t="s">
        <v>175</v>
      </c>
      <c r="F59" t="s">
        <v>83</v>
      </c>
      <c r="G59" t="s">
        <v>36</v>
      </c>
      <c r="H59" t="s">
        <v>48</v>
      </c>
      <c r="I59" t="s">
        <v>53</v>
      </c>
      <c r="J59">
        <v>350</v>
      </c>
      <c r="K59">
        <v>18</v>
      </c>
      <c r="L59">
        <v>28.5</v>
      </c>
      <c r="M59" t="s">
        <v>64</v>
      </c>
      <c r="N59" t="s">
        <v>28</v>
      </c>
      <c r="O59">
        <v>456</v>
      </c>
      <c r="P59">
        <v>42.6</v>
      </c>
      <c r="Q59" t="s">
        <v>40</v>
      </c>
      <c r="R59">
        <v>541.51</v>
      </c>
      <c r="S59" t="s">
        <v>30</v>
      </c>
    </row>
    <row r="60" spans="1:19" x14ac:dyDescent="0.3">
      <c r="A60" t="s">
        <v>176</v>
      </c>
      <c r="B60" s="1">
        <v>46160</v>
      </c>
      <c r="C60" t="s">
        <v>124</v>
      </c>
      <c r="D60" t="s">
        <v>125</v>
      </c>
      <c r="E60" t="s">
        <v>177</v>
      </c>
      <c r="F60" t="s">
        <v>46</v>
      </c>
      <c r="G60" t="s">
        <v>36</v>
      </c>
      <c r="H60" t="s">
        <v>37</v>
      </c>
      <c r="I60" t="s">
        <v>26</v>
      </c>
      <c r="J60">
        <v>240</v>
      </c>
      <c r="K60">
        <v>33</v>
      </c>
      <c r="L60">
        <v>0</v>
      </c>
      <c r="M60" t="s">
        <v>27</v>
      </c>
      <c r="N60" t="s">
        <v>98</v>
      </c>
      <c r="O60">
        <v>0</v>
      </c>
      <c r="P60">
        <v>36.5</v>
      </c>
      <c r="Q60" t="s">
        <v>40</v>
      </c>
      <c r="R60">
        <v>0</v>
      </c>
      <c r="S60" t="s">
        <v>41</v>
      </c>
    </row>
    <row r="61" spans="1:19" x14ac:dyDescent="0.3">
      <c r="A61" t="s">
        <v>178</v>
      </c>
      <c r="B61" s="1">
        <v>46048</v>
      </c>
      <c r="C61" t="s">
        <v>56</v>
      </c>
      <c r="D61" t="s">
        <v>57</v>
      </c>
      <c r="E61" t="s">
        <v>179</v>
      </c>
      <c r="F61" t="s">
        <v>23</v>
      </c>
      <c r="G61" t="s">
        <v>24</v>
      </c>
      <c r="H61" t="s">
        <v>25</v>
      </c>
      <c r="I61" t="s">
        <v>53</v>
      </c>
      <c r="J61">
        <v>7</v>
      </c>
      <c r="K61">
        <v>112</v>
      </c>
      <c r="L61">
        <v>8.9</v>
      </c>
      <c r="M61" t="s">
        <v>27</v>
      </c>
      <c r="N61" t="s">
        <v>28</v>
      </c>
      <c r="O61">
        <v>195.8</v>
      </c>
      <c r="P61">
        <v>43</v>
      </c>
      <c r="Q61" t="s">
        <v>59</v>
      </c>
      <c r="R61">
        <v>232.51</v>
      </c>
      <c r="S61" t="s">
        <v>30</v>
      </c>
    </row>
    <row r="62" spans="1:19" x14ac:dyDescent="0.3">
      <c r="A62" t="s">
        <v>180</v>
      </c>
      <c r="B62" s="1">
        <v>46055</v>
      </c>
      <c r="C62" t="s">
        <v>43</v>
      </c>
      <c r="D62" t="s">
        <v>44</v>
      </c>
      <c r="E62" t="s">
        <v>181</v>
      </c>
      <c r="F62" t="s">
        <v>35</v>
      </c>
      <c r="G62" t="s">
        <v>36</v>
      </c>
      <c r="H62" t="s">
        <v>48</v>
      </c>
      <c r="I62" t="s">
        <v>26</v>
      </c>
      <c r="J62">
        <v>240</v>
      </c>
      <c r="K62">
        <v>25</v>
      </c>
      <c r="L62">
        <v>0</v>
      </c>
      <c r="M62" t="s">
        <v>54</v>
      </c>
      <c r="N62" t="s">
        <v>39</v>
      </c>
      <c r="O62">
        <v>0</v>
      </c>
      <c r="P62">
        <v>31.5</v>
      </c>
      <c r="Q62" t="s">
        <v>80</v>
      </c>
      <c r="R62">
        <v>0</v>
      </c>
      <c r="S62" t="s">
        <v>41</v>
      </c>
    </row>
    <row r="63" spans="1:19" x14ac:dyDescent="0.3">
      <c r="A63" t="s">
        <v>182</v>
      </c>
      <c r="B63" s="1">
        <v>46087</v>
      </c>
      <c r="C63" t="s">
        <v>61</v>
      </c>
      <c r="D63" t="s">
        <v>33</v>
      </c>
      <c r="E63" t="s">
        <v>102</v>
      </c>
      <c r="F63" t="s">
        <v>23</v>
      </c>
      <c r="G63" t="s">
        <v>47</v>
      </c>
      <c r="H63" t="s">
        <v>37</v>
      </c>
      <c r="I63" t="s">
        <v>26</v>
      </c>
      <c r="J63">
        <v>30</v>
      </c>
      <c r="K63">
        <v>56</v>
      </c>
      <c r="L63">
        <v>0</v>
      </c>
      <c r="M63" t="s">
        <v>71</v>
      </c>
      <c r="N63" t="s">
        <v>98</v>
      </c>
      <c r="O63">
        <v>0</v>
      </c>
      <c r="P63">
        <v>38.299999999999997</v>
      </c>
      <c r="Q63" t="s">
        <v>29</v>
      </c>
      <c r="R63">
        <v>0</v>
      </c>
      <c r="S63" t="s">
        <v>41</v>
      </c>
    </row>
    <row r="64" spans="1:19" x14ac:dyDescent="0.3">
      <c r="A64" t="s">
        <v>183</v>
      </c>
      <c r="B64" s="1">
        <v>46167</v>
      </c>
      <c r="C64" t="s">
        <v>61</v>
      </c>
      <c r="D64" t="s">
        <v>33</v>
      </c>
      <c r="E64" t="s">
        <v>184</v>
      </c>
      <c r="F64" t="s">
        <v>46</v>
      </c>
      <c r="G64" t="s">
        <v>47</v>
      </c>
      <c r="H64" t="s">
        <v>37</v>
      </c>
      <c r="I64" t="s">
        <v>26</v>
      </c>
      <c r="J64">
        <v>120</v>
      </c>
      <c r="K64">
        <v>58</v>
      </c>
      <c r="L64">
        <v>0</v>
      </c>
      <c r="M64" t="s">
        <v>54</v>
      </c>
      <c r="N64" t="s">
        <v>39</v>
      </c>
      <c r="O64">
        <v>0</v>
      </c>
      <c r="P64">
        <v>36.799999999999997</v>
      </c>
      <c r="Q64" t="s">
        <v>40</v>
      </c>
      <c r="R64">
        <v>0</v>
      </c>
      <c r="S64" t="s">
        <v>41</v>
      </c>
    </row>
    <row r="65" spans="1:19" x14ac:dyDescent="0.3">
      <c r="A65" t="s">
        <v>185</v>
      </c>
      <c r="B65" s="1">
        <v>46120</v>
      </c>
      <c r="C65" t="s">
        <v>32</v>
      </c>
      <c r="D65" t="s">
        <v>33</v>
      </c>
      <c r="E65" t="s">
        <v>186</v>
      </c>
      <c r="F65" t="s">
        <v>83</v>
      </c>
      <c r="G65" t="s">
        <v>47</v>
      </c>
      <c r="H65" t="s">
        <v>48</v>
      </c>
      <c r="I65" t="s">
        <v>53</v>
      </c>
      <c r="J65">
        <v>30</v>
      </c>
      <c r="K65">
        <v>59</v>
      </c>
      <c r="L65">
        <v>72.3</v>
      </c>
      <c r="M65" t="s">
        <v>71</v>
      </c>
      <c r="N65" t="s">
        <v>28</v>
      </c>
      <c r="O65">
        <v>1012.2</v>
      </c>
      <c r="P65">
        <v>94.7</v>
      </c>
      <c r="Q65" t="s">
        <v>49</v>
      </c>
      <c r="R65">
        <v>1202</v>
      </c>
      <c r="S65" t="s">
        <v>30</v>
      </c>
    </row>
    <row r="66" spans="1:19" x14ac:dyDescent="0.3">
      <c r="A66" t="s">
        <v>187</v>
      </c>
      <c r="B66" s="1">
        <v>46043</v>
      </c>
      <c r="C66" t="s">
        <v>32</v>
      </c>
      <c r="D66" t="s">
        <v>33</v>
      </c>
      <c r="E66" t="s">
        <v>188</v>
      </c>
      <c r="F66" t="s">
        <v>63</v>
      </c>
      <c r="G66" t="s">
        <v>24</v>
      </c>
      <c r="H66" t="s">
        <v>25</v>
      </c>
      <c r="I66" t="s">
        <v>26</v>
      </c>
      <c r="J66">
        <v>7</v>
      </c>
      <c r="K66">
        <v>75</v>
      </c>
      <c r="L66">
        <v>0</v>
      </c>
      <c r="M66" t="s">
        <v>27</v>
      </c>
      <c r="N66" t="s">
        <v>39</v>
      </c>
      <c r="O66">
        <v>0</v>
      </c>
      <c r="P66">
        <v>10.1</v>
      </c>
      <c r="Q66" t="s">
        <v>59</v>
      </c>
      <c r="R66">
        <v>0</v>
      </c>
      <c r="S66" t="s">
        <v>41</v>
      </c>
    </row>
    <row r="67" spans="1:19" x14ac:dyDescent="0.3">
      <c r="A67" t="s">
        <v>189</v>
      </c>
      <c r="B67" s="1">
        <v>46097</v>
      </c>
      <c r="C67" t="s">
        <v>56</v>
      </c>
      <c r="D67" t="s">
        <v>57</v>
      </c>
      <c r="E67" t="s">
        <v>93</v>
      </c>
      <c r="F67" t="s">
        <v>46</v>
      </c>
      <c r="G67" t="s">
        <v>24</v>
      </c>
      <c r="H67" t="s">
        <v>25</v>
      </c>
      <c r="I67" t="s">
        <v>26</v>
      </c>
      <c r="J67">
        <v>22</v>
      </c>
      <c r="K67">
        <v>151</v>
      </c>
      <c r="L67">
        <v>12.8</v>
      </c>
      <c r="M67" t="s">
        <v>64</v>
      </c>
      <c r="N67" t="s">
        <v>28</v>
      </c>
      <c r="O67">
        <v>204.8</v>
      </c>
      <c r="P67">
        <v>93.2</v>
      </c>
      <c r="Q67" t="s">
        <v>29</v>
      </c>
      <c r="R67">
        <v>243.2</v>
      </c>
      <c r="S67" t="s">
        <v>30</v>
      </c>
    </row>
    <row r="68" spans="1:19" x14ac:dyDescent="0.3">
      <c r="A68" t="s">
        <v>190</v>
      </c>
      <c r="B68" s="1">
        <v>46052</v>
      </c>
      <c r="C68" t="s">
        <v>32</v>
      </c>
      <c r="D68" t="s">
        <v>33</v>
      </c>
      <c r="E68" t="s">
        <v>191</v>
      </c>
      <c r="F68" t="s">
        <v>46</v>
      </c>
      <c r="G68" t="s">
        <v>36</v>
      </c>
      <c r="H68" t="s">
        <v>37</v>
      </c>
      <c r="I68" t="s">
        <v>38</v>
      </c>
      <c r="J68">
        <v>180</v>
      </c>
      <c r="K68">
        <v>12</v>
      </c>
      <c r="L68">
        <v>12</v>
      </c>
      <c r="M68" t="s">
        <v>27</v>
      </c>
      <c r="N68" t="s">
        <v>28</v>
      </c>
      <c r="O68">
        <v>216</v>
      </c>
      <c r="P68">
        <v>72.5</v>
      </c>
      <c r="Q68" t="s">
        <v>59</v>
      </c>
      <c r="R68">
        <v>256.5</v>
      </c>
      <c r="S68" t="s">
        <v>30</v>
      </c>
    </row>
    <row r="69" spans="1:19" x14ac:dyDescent="0.3">
      <c r="A69" t="s">
        <v>192</v>
      </c>
      <c r="B69" s="1">
        <v>46054</v>
      </c>
      <c r="C69" t="s">
        <v>51</v>
      </c>
      <c r="D69" t="s">
        <v>51</v>
      </c>
      <c r="E69" t="s">
        <v>193</v>
      </c>
      <c r="F69" t="s">
        <v>35</v>
      </c>
      <c r="G69" t="s">
        <v>47</v>
      </c>
      <c r="H69" t="s">
        <v>48</v>
      </c>
      <c r="I69" t="s">
        <v>38</v>
      </c>
      <c r="J69">
        <v>120</v>
      </c>
      <c r="K69">
        <v>48</v>
      </c>
      <c r="L69">
        <v>13.4</v>
      </c>
      <c r="M69" t="s">
        <v>71</v>
      </c>
      <c r="N69" t="s">
        <v>28</v>
      </c>
      <c r="O69">
        <v>187.6</v>
      </c>
      <c r="P69">
        <v>91</v>
      </c>
      <c r="Q69" t="s">
        <v>80</v>
      </c>
      <c r="R69">
        <v>222.78</v>
      </c>
      <c r="S69" t="s">
        <v>30</v>
      </c>
    </row>
    <row r="70" spans="1:19" x14ac:dyDescent="0.3">
      <c r="A70" t="s">
        <v>194</v>
      </c>
      <c r="B70" s="1">
        <v>46029</v>
      </c>
      <c r="C70" t="s">
        <v>56</v>
      </c>
      <c r="D70" t="s">
        <v>57</v>
      </c>
      <c r="E70" t="s">
        <v>195</v>
      </c>
      <c r="F70" t="s">
        <v>63</v>
      </c>
      <c r="G70" t="s">
        <v>24</v>
      </c>
      <c r="H70" t="s">
        <v>25</v>
      </c>
      <c r="I70" t="s">
        <v>26</v>
      </c>
      <c r="J70">
        <v>22</v>
      </c>
      <c r="K70">
        <v>45</v>
      </c>
      <c r="L70">
        <v>59.1</v>
      </c>
      <c r="M70" t="s">
        <v>54</v>
      </c>
      <c r="N70" t="s">
        <v>28</v>
      </c>
      <c r="O70">
        <v>945.6</v>
      </c>
      <c r="P70">
        <v>64.599999999999994</v>
      </c>
      <c r="Q70" t="s">
        <v>59</v>
      </c>
      <c r="R70">
        <v>1122.9100000000001</v>
      </c>
      <c r="S70" t="s">
        <v>30</v>
      </c>
    </row>
    <row r="71" spans="1:19" x14ac:dyDescent="0.3">
      <c r="A71" t="s">
        <v>196</v>
      </c>
      <c r="B71" s="1">
        <v>46172</v>
      </c>
      <c r="C71" t="s">
        <v>51</v>
      </c>
      <c r="D71" t="s">
        <v>51</v>
      </c>
      <c r="E71" t="s">
        <v>197</v>
      </c>
      <c r="F71" t="s">
        <v>35</v>
      </c>
      <c r="G71" t="s">
        <v>47</v>
      </c>
      <c r="H71" t="s">
        <v>48</v>
      </c>
      <c r="I71" t="s">
        <v>26</v>
      </c>
      <c r="J71">
        <v>120</v>
      </c>
      <c r="K71">
        <v>41</v>
      </c>
      <c r="L71">
        <v>29.5</v>
      </c>
      <c r="M71" t="s">
        <v>71</v>
      </c>
      <c r="N71" t="s">
        <v>28</v>
      </c>
      <c r="O71">
        <v>413</v>
      </c>
      <c r="P71">
        <v>89</v>
      </c>
      <c r="Q71" t="s">
        <v>40</v>
      </c>
      <c r="R71">
        <v>490.44</v>
      </c>
      <c r="S71" t="s">
        <v>30</v>
      </c>
    </row>
    <row r="72" spans="1:19" x14ac:dyDescent="0.3">
      <c r="A72" t="s">
        <v>198</v>
      </c>
      <c r="B72" s="1">
        <v>46096</v>
      </c>
      <c r="C72" t="s">
        <v>120</v>
      </c>
      <c r="D72" t="s">
        <v>121</v>
      </c>
      <c r="E72" t="s">
        <v>199</v>
      </c>
      <c r="F72" t="s">
        <v>23</v>
      </c>
      <c r="G72" t="s">
        <v>36</v>
      </c>
      <c r="H72" t="s">
        <v>48</v>
      </c>
      <c r="I72" t="s">
        <v>38</v>
      </c>
      <c r="J72">
        <v>150</v>
      </c>
      <c r="K72">
        <v>20</v>
      </c>
      <c r="L72">
        <v>0</v>
      </c>
      <c r="M72" t="s">
        <v>54</v>
      </c>
      <c r="N72" t="s">
        <v>98</v>
      </c>
      <c r="O72">
        <v>0</v>
      </c>
      <c r="P72">
        <v>21.4</v>
      </c>
      <c r="Q72" t="s">
        <v>29</v>
      </c>
      <c r="R72">
        <v>0</v>
      </c>
      <c r="S72" t="s">
        <v>41</v>
      </c>
    </row>
    <row r="73" spans="1:19" x14ac:dyDescent="0.3">
      <c r="A73" t="s">
        <v>200</v>
      </c>
      <c r="B73" s="1">
        <v>46023</v>
      </c>
      <c r="C73" t="s">
        <v>120</v>
      </c>
      <c r="D73" t="s">
        <v>121</v>
      </c>
      <c r="E73" t="s">
        <v>201</v>
      </c>
      <c r="F73" t="s">
        <v>83</v>
      </c>
      <c r="G73" t="s">
        <v>36</v>
      </c>
      <c r="H73" t="s">
        <v>48</v>
      </c>
      <c r="I73" t="s">
        <v>53</v>
      </c>
      <c r="J73">
        <v>240</v>
      </c>
      <c r="K73">
        <v>29</v>
      </c>
      <c r="L73">
        <v>58.7</v>
      </c>
      <c r="M73" t="s">
        <v>54</v>
      </c>
      <c r="N73" t="s">
        <v>28</v>
      </c>
      <c r="O73">
        <v>1174</v>
      </c>
      <c r="P73">
        <v>82.9</v>
      </c>
      <c r="Q73" t="s">
        <v>59</v>
      </c>
      <c r="R73">
        <v>1394.14</v>
      </c>
      <c r="S73" t="s">
        <v>30</v>
      </c>
    </row>
    <row r="74" spans="1:19" x14ac:dyDescent="0.3">
      <c r="A74" t="s">
        <v>202</v>
      </c>
      <c r="B74" s="1">
        <v>46096</v>
      </c>
      <c r="C74" t="s">
        <v>51</v>
      </c>
      <c r="D74" t="s">
        <v>51</v>
      </c>
      <c r="E74" t="s">
        <v>203</v>
      </c>
      <c r="F74" t="s">
        <v>46</v>
      </c>
      <c r="G74" t="s">
        <v>47</v>
      </c>
      <c r="H74" t="s">
        <v>48</v>
      </c>
      <c r="I74" t="s">
        <v>26</v>
      </c>
      <c r="J74">
        <v>50</v>
      </c>
      <c r="K74">
        <v>65</v>
      </c>
      <c r="L74">
        <v>0</v>
      </c>
      <c r="M74" t="s">
        <v>54</v>
      </c>
      <c r="N74" t="s">
        <v>39</v>
      </c>
      <c r="O74">
        <v>0</v>
      </c>
      <c r="P74">
        <v>17.100000000000001</v>
      </c>
      <c r="Q74" t="s">
        <v>29</v>
      </c>
      <c r="R74">
        <v>0</v>
      </c>
      <c r="S74" t="s">
        <v>41</v>
      </c>
    </row>
    <row r="75" spans="1:19" x14ac:dyDescent="0.3">
      <c r="A75" t="s">
        <v>204</v>
      </c>
      <c r="B75" s="1">
        <v>46046</v>
      </c>
      <c r="C75" t="s">
        <v>43</v>
      </c>
      <c r="D75" t="s">
        <v>44</v>
      </c>
      <c r="E75" t="s">
        <v>205</v>
      </c>
      <c r="F75" t="s">
        <v>35</v>
      </c>
      <c r="G75" t="s">
        <v>24</v>
      </c>
      <c r="H75" t="s">
        <v>25</v>
      </c>
      <c r="I75" t="s">
        <v>26</v>
      </c>
      <c r="J75">
        <v>22</v>
      </c>
      <c r="K75">
        <v>74</v>
      </c>
      <c r="L75">
        <v>41.4</v>
      </c>
      <c r="M75" t="s">
        <v>71</v>
      </c>
      <c r="N75" t="s">
        <v>28</v>
      </c>
      <c r="O75">
        <v>745.2</v>
      </c>
      <c r="P75">
        <v>67.099999999999994</v>
      </c>
      <c r="Q75" t="s">
        <v>59</v>
      </c>
      <c r="R75">
        <v>884.93</v>
      </c>
      <c r="S75" t="s">
        <v>30</v>
      </c>
    </row>
    <row r="76" spans="1:19" x14ac:dyDescent="0.3">
      <c r="A76" t="s">
        <v>206</v>
      </c>
      <c r="B76" s="1">
        <v>46143</v>
      </c>
      <c r="C76" t="s">
        <v>120</v>
      </c>
      <c r="D76" t="s">
        <v>121</v>
      </c>
      <c r="E76" t="s">
        <v>207</v>
      </c>
      <c r="F76" t="s">
        <v>83</v>
      </c>
      <c r="G76" t="s">
        <v>24</v>
      </c>
      <c r="H76" t="s">
        <v>25</v>
      </c>
      <c r="I76" t="s">
        <v>53</v>
      </c>
      <c r="J76">
        <v>7</v>
      </c>
      <c r="K76">
        <v>165</v>
      </c>
      <c r="L76">
        <v>0</v>
      </c>
      <c r="M76" t="s">
        <v>27</v>
      </c>
      <c r="N76" t="s">
        <v>98</v>
      </c>
      <c r="O76">
        <v>0</v>
      </c>
      <c r="P76">
        <v>43.6</v>
      </c>
      <c r="Q76" t="s">
        <v>40</v>
      </c>
      <c r="R76">
        <v>0</v>
      </c>
      <c r="S76" t="s">
        <v>41</v>
      </c>
    </row>
    <row r="77" spans="1:19" x14ac:dyDescent="0.3">
      <c r="A77" t="s">
        <v>208</v>
      </c>
      <c r="B77" s="1">
        <v>46129</v>
      </c>
      <c r="C77" t="s">
        <v>20</v>
      </c>
      <c r="D77" t="s">
        <v>21</v>
      </c>
      <c r="E77" t="s">
        <v>209</v>
      </c>
      <c r="F77" t="s">
        <v>35</v>
      </c>
      <c r="G77" t="s">
        <v>47</v>
      </c>
      <c r="H77" t="s">
        <v>48</v>
      </c>
      <c r="I77" t="s">
        <v>26</v>
      </c>
      <c r="J77">
        <v>120</v>
      </c>
      <c r="K77">
        <v>75</v>
      </c>
      <c r="L77">
        <v>18</v>
      </c>
      <c r="M77" t="s">
        <v>64</v>
      </c>
      <c r="N77" t="s">
        <v>28</v>
      </c>
      <c r="O77">
        <v>396</v>
      </c>
      <c r="P77">
        <v>65.5</v>
      </c>
      <c r="Q77" t="s">
        <v>49</v>
      </c>
      <c r="R77">
        <v>470.25</v>
      </c>
      <c r="S77" t="s">
        <v>30</v>
      </c>
    </row>
    <row r="78" spans="1:19" x14ac:dyDescent="0.3">
      <c r="A78" t="s">
        <v>210</v>
      </c>
      <c r="B78" s="1">
        <v>46119</v>
      </c>
      <c r="C78" t="s">
        <v>77</v>
      </c>
      <c r="D78" t="s">
        <v>78</v>
      </c>
      <c r="E78" t="s">
        <v>211</v>
      </c>
      <c r="F78" t="s">
        <v>63</v>
      </c>
      <c r="G78" t="s">
        <v>47</v>
      </c>
      <c r="H78" t="s">
        <v>48</v>
      </c>
      <c r="I78" t="s">
        <v>26</v>
      </c>
      <c r="J78">
        <v>120</v>
      </c>
      <c r="K78">
        <v>34</v>
      </c>
      <c r="L78">
        <v>0</v>
      </c>
      <c r="M78" t="s">
        <v>27</v>
      </c>
      <c r="N78" t="s">
        <v>39</v>
      </c>
      <c r="O78">
        <v>0</v>
      </c>
      <c r="P78">
        <v>48.5</v>
      </c>
      <c r="Q78" t="s">
        <v>49</v>
      </c>
      <c r="R78">
        <v>0</v>
      </c>
      <c r="S78" t="s">
        <v>41</v>
      </c>
    </row>
    <row r="79" spans="1:19" x14ac:dyDescent="0.3">
      <c r="A79" t="s">
        <v>212</v>
      </c>
      <c r="B79" s="1">
        <v>46144</v>
      </c>
      <c r="C79" t="s">
        <v>43</v>
      </c>
      <c r="D79" t="s">
        <v>44</v>
      </c>
      <c r="E79" t="s">
        <v>213</v>
      </c>
      <c r="F79" t="s">
        <v>46</v>
      </c>
      <c r="G79" t="s">
        <v>36</v>
      </c>
      <c r="H79" t="s">
        <v>48</v>
      </c>
      <c r="I79" t="s">
        <v>53</v>
      </c>
      <c r="J79">
        <v>150</v>
      </c>
      <c r="K79">
        <v>14</v>
      </c>
      <c r="L79">
        <v>0</v>
      </c>
      <c r="M79" t="s">
        <v>27</v>
      </c>
      <c r="N79" t="s">
        <v>98</v>
      </c>
      <c r="O79">
        <v>0</v>
      </c>
      <c r="P79">
        <v>32.6</v>
      </c>
      <c r="Q79" t="s">
        <v>40</v>
      </c>
      <c r="R79">
        <v>0</v>
      </c>
      <c r="S79" t="s">
        <v>41</v>
      </c>
    </row>
    <row r="80" spans="1:19" x14ac:dyDescent="0.3">
      <c r="A80" t="s">
        <v>214</v>
      </c>
      <c r="B80" s="1">
        <v>46135</v>
      </c>
      <c r="C80" t="s">
        <v>124</v>
      </c>
      <c r="D80" t="s">
        <v>125</v>
      </c>
      <c r="E80" t="s">
        <v>215</v>
      </c>
      <c r="F80" t="s">
        <v>35</v>
      </c>
      <c r="G80" t="s">
        <v>24</v>
      </c>
      <c r="H80" t="s">
        <v>25</v>
      </c>
      <c r="I80" t="s">
        <v>38</v>
      </c>
      <c r="J80">
        <v>22</v>
      </c>
      <c r="K80">
        <v>71</v>
      </c>
      <c r="L80">
        <v>35.5</v>
      </c>
      <c r="M80" t="s">
        <v>71</v>
      </c>
      <c r="N80" t="s">
        <v>28</v>
      </c>
      <c r="O80">
        <v>568</v>
      </c>
      <c r="P80">
        <v>39.700000000000003</v>
      </c>
      <c r="Q80" t="s">
        <v>49</v>
      </c>
      <c r="R80">
        <v>674.51</v>
      </c>
      <c r="S80" t="s">
        <v>30</v>
      </c>
    </row>
    <row r="81" spans="1:19" x14ac:dyDescent="0.3">
      <c r="A81" t="s">
        <v>216</v>
      </c>
      <c r="B81" s="1">
        <v>46043</v>
      </c>
      <c r="C81" t="s">
        <v>124</v>
      </c>
      <c r="D81" t="s">
        <v>125</v>
      </c>
      <c r="E81" t="s">
        <v>217</v>
      </c>
      <c r="F81" t="s">
        <v>35</v>
      </c>
      <c r="G81" t="s">
        <v>47</v>
      </c>
      <c r="H81" t="s">
        <v>48</v>
      </c>
      <c r="I81" t="s">
        <v>53</v>
      </c>
      <c r="J81">
        <v>30</v>
      </c>
      <c r="K81">
        <v>59</v>
      </c>
      <c r="L81">
        <v>0</v>
      </c>
      <c r="M81" t="s">
        <v>71</v>
      </c>
      <c r="N81" t="s">
        <v>39</v>
      </c>
      <c r="O81">
        <v>0</v>
      </c>
      <c r="P81">
        <v>13.1</v>
      </c>
      <c r="Q81" t="s">
        <v>59</v>
      </c>
      <c r="R81">
        <v>0</v>
      </c>
      <c r="S81" t="s">
        <v>41</v>
      </c>
    </row>
    <row r="82" spans="1:19" x14ac:dyDescent="0.3">
      <c r="A82" t="s">
        <v>218</v>
      </c>
      <c r="B82" s="1">
        <v>46134</v>
      </c>
      <c r="C82" t="s">
        <v>32</v>
      </c>
      <c r="D82" t="s">
        <v>33</v>
      </c>
      <c r="E82" t="s">
        <v>219</v>
      </c>
      <c r="F82" t="s">
        <v>23</v>
      </c>
      <c r="G82" t="s">
        <v>24</v>
      </c>
      <c r="H82" t="s">
        <v>25</v>
      </c>
      <c r="I82" t="s">
        <v>38</v>
      </c>
      <c r="J82">
        <v>7</v>
      </c>
      <c r="K82">
        <v>111</v>
      </c>
      <c r="L82">
        <v>0</v>
      </c>
      <c r="M82" t="s">
        <v>54</v>
      </c>
      <c r="N82" t="s">
        <v>98</v>
      </c>
      <c r="O82">
        <v>0</v>
      </c>
      <c r="P82">
        <v>50.7</v>
      </c>
      <c r="Q82" t="s">
        <v>49</v>
      </c>
      <c r="R82">
        <v>0</v>
      </c>
      <c r="S82" t="s">
        <v>41</v>
      </c>
    </row>
    <row r="83" spans="1:19" x14ac:dyDescent="0.3">
      <c r="A83" t="s">
        <v>220</v>
      </c>
      <c r="B83" s="1">
        <v>46098</v>
      </c>
      <c r="C83" t="s">
        <v>124</v>
      </c>
      <c r="D83" t="s">
        <v>125</v>
      </c>
      <c r="E83" t="s">
        <v>221</v>
      </c>
      <c r="F83" t="s">
        <v>23</v>
      </c>
      <c r="G83" t="s">
        <v>47</v>
      </c>
      <c r="H83" t="s">
        <v>48</v>
      </c>
      <c r="I83" t="s">
        <v>53</v>
      </c>
      <c r="J83">
        <v>120</v>
      </c>
      <c r="K83">
        <v>56</v>
      </c>
      <c r="L83">
        <v>53.7</v>
      </c>
      <c r="M83" t="s">
        <v>27</v>
      </c>
      <c r="N83" t="s">
        <v>28</v>
      </c>
      <c r="O83">
        <v>859.2</v>
      </c>
      <c r="P83">
        <v>45.7</v>
      </c>
      <c r="Q83" t="s">
        <v>29</v>
      </c>
      <c r="R83">
        <v>1020.31</v>
      </c>
      <c r="S83" t="s">
        <v>30</v>
      </c>
    </row>
    <row r="84" spans="1:19" x14ac:dyDescent="0.3">
      <c r="A84" t="s">
        <v>222</v>
      </c>
      <c r="B84" s="1">
        <v>46084</v>
      </c>
      <c r="C84" t="s">
        <v>56</v>
      </c>
      <c r="D84" t="s">
        <v>57</v>
      </c>
      <c r="E84" t="s">
        <v>150</v>
      </c>
      <c r="F84" t="s">
        <v>46</v>
      </c>
      <c r="G84" t="s">
        <v>47</v>
      </c>
      <c r="H84" t="s">
        <v>37</v>
      </c>
      <c r="I84" t="s">
        <v>26</v>
      </c>
      <c r="J84">
        <v>120</v>
      </c>
      <c r="K84">
        <v>36</v>
      </c>
      <c r="L84">
        <v>52.7</v>
      </c>
      <c r="M84" t="s">
        <v>71</v>
      </c>
      <c r="N84" t="s">
        <v>28</v>
      </c>
      <c r="O84">
        <v>1054</v>
      </c>
      <c r="P84">
        <v>91.8</v>
      </c>
      <c r="Q84" t="s">
        <v>29</v>
      </c>
      <c r="R84">
        <v>1251.6400000000001</v>
      </c>
      <c r="S84" t="s">
        <v>30</v>
      </c>
    </row>
    <row r="85" spans="1:19" x14ac:dyDescent="0.3">
      <c r="A85" t="s">
        <v>223</v>
      </c>
      <c r="B85" s="1">
        <v>46136</v>
      </c>
      <c r="C85" t="s">
        <v>61</v>
      </c>
      <c r="D85" t="s">
        <v>33</v>
      </c>
      <c r="E85" t="s">
        <v>224</v>
      </c>
      <c r="F85" t="s">
        <v>23</v>
      </c>
      <c r="G85" t="s">
        <v>47</v>
      </c>
      <c r="H85" t="s">
        <v>48</v>
      </c>
      <c r="I85" t="s">
        <v>38</v>
      </c>
      <c r="J85">
        <v>120</v>
      </c>
      <c r="K85">
        <v>74</v>
      </c>
      <c r="L85">
        <v>28.2</v>
      </c>
      <c r="M85" t="s">
        <v>71</v>
      </c>
      <c r="N85" t="s">
        <v>28</v>
      </c>
      <c r="O85">
        <v>564</v>
      </c>
      <c r="P85">
        <v>88.8</v>
      </c>
      <c r="Q85" t="s">
        <v>49</v>
      </c>
      <c r="R85">
        <v>669.76</v>
      </c>
      <c r="S85" t="s">
        <v>30</v>
      </c>
    </row>
    <row r="86" spans="1:19" x14ac:dyDescent="0.3">
      <c r="A86" t="s">
        <v>225</v>
      </c>
      <c r="B86" s="1">
        <v>46169</v>
      </c>
      <c r="C86" t="s">
        <v>32</v>
      </c>
      <c r="D86" t="s">
        <v>33</v>
      </c>
      <c r="E86" t="s">
        <v>141</v>
      </c>
      <c r="F86" t="s">
        <v>63</v>
      </c>
      <c r="G86" t="s">
        <v>47</v>
      </c>
      <c r="H86" t="s">
        <v>48</v>
      </c>
      <c r="I86" t="s">
        <v>38</v>
      </c>
      <c r="J86">
        <v>120</v>
      </c>
      <c r="K86">
        <v>37</v>
      </c>
      <c r="L86">
        <v>8.5</v>
      </c>
      <c r="M86" t="s">
        <v>64</v>
      </c>
      <c r="N86" t="s">
        <v>28</v>
      </c>
      <c r="O86">
        <v>119</v>
      </c>
      <c r="P86">
        <v>92.4</v>
      </c>
      <c r="Q86" t="s">
        <v>40</v>
      </c>
      <c r="R86">
        <v>141.31</v>
      </c>
      <c r="S86" t="s">
        <v>30</v>
      </c>
    </row>
    <row r="87" spans="1:19" x14ac:dyDescent="0.3">
      <c r="A87" t="s">
        <v>226</v>
      </c>
      <c r="B87" s="1">
        <v>46113</v>
      </c>
      <c r="C87" t="s">
        <v>51</v>
      </c>
      <c r="D87" t="s">
        <v>51</v>
      </c>
      <c r="E87" t="s">
        <v>66</v>
      </c>
      <c r="F87" t="s">
        <v>23</v>
      </c>
      <c r="G87" t="s">
        <v>24</v>
      </c>
      <c r="H87" t="s">
        <v>25</v>
      </c>
      <c r="I87" t="s">
        <v>38</v>
      </c>
      <c r="J87">
        <v>11</v>
      </c>
      <c r="K87">
        <v>70</v>
      </c>
      <c r="L87">
        <v>0</v>
      </c>
      <c r="M87" t="s">
        <v>27</v>
      </c>
      <c r="N87" t="s">
        <v>39</v>
      </c>
      <c r="O87">
        <v>0</v>
      </c>
      <c r="P87">
        <v>38.299999999999997</v>
      </c>
      <c r="Q87" t="s">
        <v>49</v>
      </c>
      <c r="R87">
        <v>0</v>
      </c>
      <c r="S87" t="s">
        <v>41</v>
      </c>
    </row>
    <row r="88" spans="1:19" x14ac:dyDescent="0.3">
      <c r="A88" t="s">
        <v>227</v>
      </c>
      <c r="B88" s="1">
        <v>46031</v>
      </c>
      <c r="C88" t="s">
        <v>51</v>
      </c>
      <c r="D88" t="s">
        <v>51</v>
      </c>
      <c r="E88" t="s">
        <v>193</v>
      </c>
      <c r="F88" t="s">
        <v>46</v>
      </c>
      <c r="G88" t="s">
        <v>36</v>
      </c>
      <c r="H88" t="s">
        <v>48</v>
      </c>
      <c r="I88" t="s">
        <v>38</v>
      </c>
      <c r="J88">
        <v>240</v>
      </c>
      <c r="K88">
        <v>20</v>
      </c>
      <c r="L88">
        <v>58.1</v>
      </c>
      <c r="M88" t="s">
        <v>27</v>
      </c>
      <c r="N88" t="s">
        <v>28</v>
      </c>
      <c r="O88">
        <v>929.6</v>
      </c>
      <c r="P88">
        <v>47.7</v>
      </c>
      <c r="Q88" t="s">
        <v>59</v>
      </c>
      <c r="R88">
        <v>1103.9100000000001</v>
      </c>
      <c r="S88" t="s">
        <v>30</v>
      </c>
    </row>
    <row r="89" spans="1:19" x14ac:dyDescent="0.3">
      <c r="A89" t="s">
        <v>228</v>
      </c>
      <c r="B89" s="1">
        <v>46151</v>
      </c>
      <c r="C89" t="s">
        <v>124</v>
      </c>
      <c r="D89" t="s">
        <v>125</v>
      </c>
      <c r="E89" t="s">
        <v>229</v>
      </c>
      <c r="F89" t="s">
        <v>83</v>
      </c>
      <c r="G89" t="s">
        <v>47</v>
      </c>
      <c r="H89" t="s">
        <v>37</v>
      </c>
      <c r="I89" t="s">
        <v>53</v>
      </c>
      <c r="J89">
        <v>60</v>
      </c>
      <c r="K89">
        <v>71</v>
      </c>
      <c r="L89">
        <v>15.7</v>
      </c>
      <c r="M89" t="s">
        <v>71</v>
      </c>
      <c r="N89" t="s">
        <v>28</v>
      </c>
      <c r="O89">
        <v>219.8</v>
      </c>
      <c r="P89">
        <v>43.9</v>
      </c>
      <c r="Q89" t="s">
        <v>40</v>
      </c>
      <c r="R89">
        <v>261.02</v>
      </c>
      <c r="S89" t="s">
        <v>30</v>
      </c>
    </row>
    <row r="90" spans="1:19" x14ac:dyDescent="0.3">
      <c r="A90" t="s">
        <v>230</v>
      </c>
      <c r="B90" s="1">
        <v>46046</v>
      </c>
      <c r="C90" t="s">
        <v>120</v>
      </c>
      <c r="D90" t="s">
        <v>121</v>
      </c>
      <c r="E90" t="s">
        <v>231</v>
      </c>
      <c r="F90" t="s">
        <v>35</v>
      </c>
      <c r="G90" t="s">
        <v>47</v>
      </c>
      <c r="H90" t="s">
        <v>37</v>
      </c>
      <c r="I90" t="s">
        <v>53</v>
      </c>
      <c r="J90">
        <v>60</v>
      </c>
      <c r="K90">
        <v>63</v>
      </c>
      <c r="L90">
        <v>0</v>
      </c>
      <c r="M90" t="s">
        <v>54</v>
      </c>
      <c r="N90" t="s">
        <v>98</v>
      </c>
      <c r="O90">
        <v>0</v>
      </c>
      <c r="P90">
        <v>43.7</v>
      </c>
      <c r="Q90" t="s">
        <v>59</v>
      </c>
      <c r="R90">
        <v>0</v>
      </c>
      <c r="S90" t="s">
        <v>41</v>
      </c>
    </row>
    <row r="91" spans="1:19" x14ac:dyDescent="0.3">
      <c r="A91" t="s">
        <v>232</v>
      </c>
      <c r="B91" s="1">
        <v>46118</v>
      </c>
      <c r="C91" t="s">
        <v>56</v>
      </c>
      <c r="D91" t="s">
        <v>57</v>
      </c>
      <c r="E91" t="s">
        <v>150</v>
      </c>
      <c r="F91" t="s">
        <v>46</v>
      </c>
      <c r="G91" t="s">
        <v>24</v>
      </c>
      <c r="H91" t="s">
        <v>25</v>
      </c>
      <c r="I91" t="s">
        <v>38</v>
      </c>
      <c r="J91">
        <v>7</v>
      </c>
      <c r="K91">
        <v>178</v>
      </c>
      <c r="L91">
        <v>0</v>
      </c>
      <c r="M91" t="s">
        <v>27</v>
      </c>
      <c r="N91" t="s">
        <v>98</v>
      </c>
      <c r="O91">
        <v>0</v>
      </c>
      <c r="P91">
        <v>24.8</v>
      </c>
      <c r="Q91" t="s">
        <v>49</v>
      </c>
      <c r="R91">
        <v>0</v>
      </c>
      <c r="S91" t="s">
        <v>41</v>
      </c>
    </row>
    <row r="92" spans="1:19" x14ac:dyDescent="0.3">
      <c r="A92" t="s">
        <v>233</v>
      </c>
      <c r="B92" s="1">
        <v>46141</v>
      </c>
      <c r="C92" t="s">
        <v>32</v>
      </c>
      <c r="D92" t="s">
        <v>33</v>
      </c>
      <c r="E92" t="s">
        <v>96</v>
      </c>
      <c r="F92" t="s">
        <v>23</v>
      </c>
      <c r="G92" t="s">
        <v>36</v>
      </c>
      <c r="H92" t="s">
        <v>48</v>
      </c>
      <c r="I92" t="s">
        <v>38</v>
      </c>
      <c r="J92">
        <v>180</v>
      </c>
      <c r="K92">
        <v>11</v>
      </c>
      <c r="L92">
        <v>71.400000000000006</v>
      </c>
      <c r="M92" t="s">
        <v>71</v>
      </c>
      <c r="N92" t="s">
        <v>28</v>
      </c>
      <c r="O92">
        <v>1285.2</v>
      </c>
      <c r="P92">
        <v>97.7</v>
      </c>
      <c r="Q92" t="s">
        <v>49</v>
      </c>
      <c r="R92">
        <v>1526.19</v>
      </c>
      <c r="S92" t="s">
        <v>30</v>
      </c>
    </row>
    <row r="93" spans="1:19" x14ac:dyDescent="0.3">
      <c r="A93" t="s">
        <v>234</v>
      </c>
      <c r="B93" s="1">
        <v>46160</v>
      </c>
      <c r="C93" t="s">
        <v>20</v>
      </c>
      <c r="D93" t="s">
        <v>21</v>
      </c>
      <c r="E93" t="s">
        <v>89</v>
      </c>
      <c r="F93" t="s">
        <v>23</v>
      </c>
      <c r="G93" t="s">
        <v>24</v>
      </c>
      <c r="H93" t="s">
        <v>25</v>
      </c>
      <c r="I93" t="s">
        <v>53</v>
      </c>
      <c r="J93">
        <v>22</v>
      </c>
      <c r="K93">
        <v>173</v>
      </c>
      <c r="L93">
        <v>36.1</v>
      </c>
      <c r="M93" t="s">
        <v>71</v>
      </c>
      <c r="N93" t="s">
        <v>28</v>
      </c>
      <c r="O93">
        <v>577.6</v>
      </c>
      <c r="P93">
        <v>90.8</v>
      </c>
      <c r="Q93" t="s">
        <v>40</v>
      </c>
      <c r="R93">
        <v>685.91</v>
      </c>
      <c r="S93" t="s">
        <v>30</v>
      </c>
    </row>
    <row r="94" spans="1:19" x14ac:dyDescent="0.3">
      <c r="A94" t="s">
        <v>235</v>
      </c>
      <c r="B94" s="1">
        <v>46094</v>
      </c>
      <c r="C94" t="s">
        <v>85</v>
      </c>
      <c r="D94" t="s">
        <v>86</v>
      </c>
      <c r="E94" t="s">
        <v>236</v>
      </c>
      <c r="F94" t="s">
        <v>35</v>
      </c>
      <c r="G94" t="s">
        <v>24</v>
      </c>
      <c r="H94" t="s">
        <v>25</v>
      </c>
      <c r="I94" t="s">
        <v>38</v>
      </c>
      <c r="J94">
        <v>11</v>
      </c>
      <c r="K94">
        <v>148</v>
      </c>
      <c r="L94">
        <v>71.7</v>
      </c>
      <c r="M94" t="s">
        <v>64</v>
      </c>
      <c r="N94" t="s">
        <v>28</v>
      </c>
      <c r="O94">
        <v>1290.5999999999999</v>
      </c>
      <c r="P94">
        <v>41.3</v>
      </c>
      <c r="Q94" t="s">
        <v>29</v>
      </c>
      <c r="R94">
        <v>1532.6</v>
      </c>
      <c r="S94" t="s">
        <v>30</v>
      </c>
    </row>
    <row r="95" spans="1:19" x14ac:dyDescent="0.3">
      <c r="A95" t="s">
        <v>237</v>
      </c>
      <c r="B95" s="1">
        <v>46038</v>
      </c>
      <c r="C95" t="s">
        <v>77</v>
      </c>
      <c r="D95" t="s">
        <v>78</v>
      </c>
      <c r="E95" t="s">
        <v>238</v>
      </c>
      <c r="F95" t="s">
        <v>46</v>
      </c>
      <c r="G95" t="s">
        <v>47</v>
      </c>
      <c r="H95" t="s">
        <v>48</v>
      </c>
      <c r="I95" t="s">
        <v>26</v>
      </c>
      <c r="J95">
        <v>30</v>
      </c>
      <c r="K95">
        <v>62</v>
      </c>
      <c r="L95">
        <v>0</v>
      </c>
      <c r="M95" t="s">
        <v>54</v>
      </c>
      <c r="N95" t="s">
        <v>98</v>
      </c>
      <c r="O95">
        <v>0</v>
      </c>
      <c r="P95">
        <v>19.5</v>
      </c>
      <c r="Q95" t="s">
        <v>59</v>
      </c>
      <c r="R95">
        <v>0</v>
      </c>
      <c r="S95" t="s">
        <v>41</v>
      </c>
    </row>
    <row r="96" spans="1:19" x14ac:dyDescent="0.3">
      <c r="A96" t="s">
        <v>239</v>
      </c>
      <c r="B96" s="1">
        <v>46108</v>
      </c>
      <c r="C96" t="s">
        <v>43</v>
      </c>
      <c r="D96" t="s">
        <v>44</v>
      </c>
      <c r="E96" t="s">
        <v>240</v>
      </c>
      <c r="F96" t="s">
        <v>83</v>
      </c>
      <c r="G96" t="s">
        <v>24</v>
      </c>
      <c r="H96" t="s">
        <v>25</v>
      </c>
      <c r="I96" t="s">
        <v>26</v>
      </c>
      <c r="J96">
        <v>22</v>
      </c>
      <c r="K96">
        <v>88</v>
      </c>
      <c r="L96">
        <v>47.3</v>
      </c>
      <c r="M96" t="s">
        <v>27</v>
      </c>
      <c r="N96" t="s">
        <v>28</v>
      </c>
      <c r="O96">
        <v>756.8</v>
      </c>
      <c r="P96">
        <v>55.7</v>
      </c>
      <c r="Q96" t="s">
        <v>29</v>
      </c>
      <c r="R96">
        <v>898.71</v>
      </c>
      <c r="S96" t="s">
        <v>30</v>
      </c>
    </row>
    <row r="97" spans="1:19" x14ac:dyDescent="0.3">
      <c r="A97" t="s">
        <v>241</v>
      </c>
      <c r="B97" s="1">
        <v>46093</v>
      </c>
      <c r="C97" t="s">
        <v>56</v>
      </c>
      <c r="D97" t="s">
        <v>57</v>
      </c>
      <c r="E97" t="s">
        <v>242</v>
      </c>
      <c r="F97" t="s">
        <v>83</v>
      </c>
      <c r="G97" t="s">
        <v>24</v>
      </c>
      <c r="H97" t="s">
        <v>25</v>
      </c>
      <c r="I97" t="s">
        <v>26</v>
      </c>
      <c r="J97">
        <v>7</v>
      </c>
      <c r="K97">
        <v>41</v>
      </c>
      <c r="L97">
        <v>16.8</v>
      </c>
      <c r="M97" t="s">
        <v>64</v>
      </c>
      <c r="N97" t="s">
        <v>28</v>
      </c>
      <c r="O97">
        <v>302.39999999999998</v>
      </c>
      <c r="P97">
        <v>84.8</v>
      </c>
      <c r="Q97" t="s">
        <v>29</v>
      </c>
      <c r="R97">
        <v>359.1</v>
      </c>
      <c r="S97" t="s">
        <v>30</v>
      </c>
    </row>
    <row r="98" spans="1:19" x14ac:dyDescent="0.3">
      <c r="A98" t="s">
        <v>243</v>
      </c>
      <c r="B98" s="1">
        <v>46027</v>
      </c>
      <c r="C98" t="s">
        <v>56</v>
      </c>
      <c r="D98" t="s">
        <v>57</v>
      </c>
      <c r="E98" t="s">
        <v>244</v>
      </c>
      <c r="F98" t="s">
        <v>35</v>
      </c>
      <c r="G98" t="s">
        <v>24</v>
      </c>
      <c r="H98" t="s">
        <v>25</v>
      </c>
      <c r="I98" t="s">
        <v>53</v>
      </c>
      <c r="J98">
        <v>22</v>
      </c>
      <c r="K98">
        <v>142</v>
      </c>
      <c r="L98">
        <v>43.2</v>
      </c>
      <c r="M98" t="s">
        <v>54</v>
      </c>
      <c r="N98" t="s">
        <v>28</v>
      </c>
      <c r="O98">
        <v>604.79999999999995</v>
      </c>
      <c r="P98">
        <v>65</v>
      </c>
      <c r="Q98" t="s">
        <v>59</v>
      </c>
      <c r="R98">
        <v>718.21</v>
      </c>
      <c r="S98" t="s">
        <v>30</v>
      </c>
    </row>
    <row r="99" spans="1:19" x14ac:dyDescent="0.3">
      <c r="A99" t="s">
        <v>245</v>
      </c>
      <c r="B99" s="1">
        <v>46138</v>
      </c>
      <c r="C99" t="s">
        <v>77</v>
      </c>
      <c r="D99" t="s">
        <v>78</v>
      </c>
      <c r="E99" t="s">
        <v>246</v>
      </c>
      <c r="F99" t="s">
        <v>23</v>
      </c>
      <c r="G99" t="s">
        <v>36</v>
      </c>
      <c r="H99" t="s">
        <v>37</v>
      </c>
      <c r="I99" t="s">
        <v>38</v>
      </c>
      <c r="J99">
        <v>240</v>
      </c>
      <c r="K99">
        <v>24</v>
      </c>
      <c r="L99">
        <v>0</v>
      </c>
      <c r="M99" t="s">
        <v>54</v>
      </c>
      <c r="N99" t="s">
        <v>39</v>
      </c>
      <c r="O99">
        <v>0</v>
      </c>
      <c r="P99">
        <v>39</v>
      </c>
      <c r="Q99" t="s">
        <v>49</v>
      </c>
      <c r="R99">
        <v>0</v>
      </c>
      <c r="S99" t="s">
        <v>41</v>
      </c>
    </row>
    <row r="100" spans="1:19" x14ac:dyDescent="0.3">
      <c r="A100" t="s">
        <v>247</v>
      </c>
      <c r="B100" s="1">
        <v>46125</v>
      </c>
      <c r="C100" t="s">
        <v>43</v>
      </c>
      <c r="D100" t="s">
        <v>44</v>
      </c>
      <c r="E100" t="s">
        <v>248</v>
      </c>
      <c r="F100" t="s">
        <v>46</v>
      </c>
      <c r="G100" t="s">
        <v>47</v>
      </c>
      <c r="H100" t="s">
        <v>37</v>
      </c>
      <c r="I100" t="s">
        <v>53</v>
      </c>
      <c r="J100">
        <v>30</v>
      </c>
      <c r="K100">
        <v>40</v>
      </c>
      <c r="L100">
        <v>48.8</v>
      </c>
      <c r="M100" t="s">
        <v>71</v>
      </c>
      <c r="N100" t="s">
        <v>28</v>
      </c>
      <c r="O100">
        <v>683.2</v>
      </c>
      <c r="P100">
        <v>43</v>
      </c>
      <c r="Q100" t="s">
        <v>49</v>
      </c>
      <c r="R100">
        <v>811.31</v>
      </c>
      <c r="S100" t="s">
        <v>30</v>
      </c>
    </row>
    <row r="101" spans="1:19" x14ac:dyDescent="0.3">
      <c r="A101" t="s">
        <v>249</v>
      </c>
      <c r="B101" s="1">
        <v>46120</v>
      </c>
      <c r="C101" t="s">
        <v>56</v>
      </c>
      <c r="D101" t="s">
        <v>57</v>
      </c>
      <c r="E101" t="s">
        <v>244</v>
      </c>
      <c r="F101" t="s">
        <v>83</v>
      </c>
      <c r="G101" t="s">
        <v>36</v>
      </c>
      <c r="H101" t="s">
        <v>48</v>
      </c>
      <c r="I101" t="s">
        <v>53</v>
      </c>
      <c r="J101">
        <v>150</v>
      </c>
      <c r="K101">
        <v>37</v>
      </c>
      <c r="L101">
        <v>51.9</v>
      </c>
      <c r="M101" t="s">
        <v>71</v>
      </c>
      <c r="N101" t="s">
        <v>28</v>
      </c>
      <c r="O101">
        <v>1141.8</v>
      </c>
      <c r="P101">
        <v>80.400000000000006</v>
      </c>
      <c r="Q101" t="s">
        <v>49</v>
      </c>
      <c r="R101">
        <v>1355.9</v>
      </c>
      <c r="S101" t="s">
        <v>30</v>
      </c>
    </row>
    <row r="102" spans="1:19" x14ac:dyDescent="0.3">
      <c r="A102" t="s">
        <v>250</v>
      </c>
      <c r="B102" s="1">
        <v>46081</v>
      </c>
      <c r="C102" t="s">
        <v>120</v>
      </c>
      <c r="D102" t="s">
        <v>121</v>
      </c>
      <c r="E102" t="s">
        <v>251</v>
      </c>
      <c r="F102" t="s">
        <v>35</v>
      </c>
      <c r="G102" t="s">
        <v>47</v>
      </c>
      <c r="H102" t="s">
        <v>48</v>
      </c>
      <c r="I102" t="s">
        <v>53</v>
      </c>
      <c r="J102">
        <v>30</v>
      </c>
      <c r="K102">
        <v>40</v>
      </c>
      <c r="L102">
        <v>0</v>
      </c>
      <c r="M102" t="s">
        <v>71</v>
      </c>
      <c r="N102" t="s">
        <v>98</v>
      </c>
      <c r="O102">
        <v>0</v>
      </c>
      <c r="P102">
        <v>29.2</v>
      </c>
      <c r="Q102" t="s">
        <v>80</v>
      </c>
      <c r="R102">
        <v>0</v>
      </c>
      <c r="S102" t="s">
        <v>41</v>
      </c>
    </row>
    <row r="103" spans="1:19" x14ac:dyDescent="0.3">
      <c r="A103" t="s">
        <v>252</v>
      </c>
      <c r="B103" s="1">
        <v>46144</v>
      </c>
      <c r="C103" t="s">
        <v>124</v>
      </c>
      <c r="D103" t="s">
        <v>125</v>
      </c>
      <c r="E103" t="s">
        <v>253</v>
      </c>
      <c r="F103" t="s">
        <v>46</v>
      </c>
      <c r="G103" t="s">
        <v>24</v>
      </c>
      <c r="H103" t="s">
        <v>25</v>
      </c>
      <c r="I103" t="s">
        <v>26</v>
      </c>
      <c r="J103">
        <v>11</v>
      </c>
      <c r="K103">
        <v>59</v>
      </c>
      <c r="L103">
        <v>57.9</v>
      </c>
      <c r="M103" t="s">
        <v>54</v>
      </c>
      <c r="N103" t="s">
        <v>28</v>
      </c>
      <c r="O103">
        <v>1042.2</v>
      </c>
      <c r="P103">
        <v>86.1</v>
      </c>
      <c r="Q103" t="s">
        <v>40</v>
      </c>
      <c r="R103">
        <v>1237.6199999999999</v>
      </c>
      <c r="S103" t="s">
        <v>30</v>
      </c>
    </row>
    <row r="104" spans="1:19" x14ac:dyDescent="0.3">
      <c r="A104" t="s">
        <v>254</v>
      </c>
      <c r="B104" s="1">
        <v>46054</v>
      </c>
      <c r="C104" t="s">
        <v>43</v>
      </c>
      <c r="D104" t="s">
        <v>44</v>
      </c>
      <c r="E104" t="s">
        <v>255</v>
      </c>
      <c r="F104" t="s">
        <v>83</v>
      </c>
      <c r="G104" t="s">
        <v>47</v>
      </c>
      <c r="H104" t="s">
        <v>48</v>
      </c>
      <c r="I104" t="s">
        <v>38</v>
      </c>
      <c r="J104">
        <v>60</v>
      </c>
      <c r="K104">
        <v>58</v>
      </c>
      <c r="L104">
        <v>28.9</v>
      </c>
      <c r="M104" t="s">
        <v>71</v>
      </c>
      <c r="N104" t="s">
        <v>28</v>
      </c>
      <c r="O104">
        <v>404.6</v>
      </c>
      <c r="P104">
        <v>71.400000000000006</v>
      </c>
      <c r="Q104" t="s">
        <v>80</v>
      </c>
      <c r="R104">
        <v>480.47</v>
      </c>
      <c r="S104" t="s">
        <v>30</v>
      </c>
    </row>
    <row r="105" spans="1:19" x14ac:dyDescent="0.3">
      <c r="A105" t="s">
        <v>256</v>
      </c>
      <c r="B105" s="1">
        <v>46080</v>
      </c>
      <c r="C105" t="s">
        <v>61</v>
      </c>
      <c r="D105" t="s">
        <v>33</v>
      </c>
      <c r="E105" t="s">
        <v>160</v>
      </c>
      <c r="F105" t="s">
        <v>46</v>
      </c>
      <c r="G105" t="s">
        <v>24</v>
      </c>
      <c r="H105" t="s">
        <v>25</v>
      </c>
      <c r="I105" t="s">
        <v>53</v>
      </c>
      <c r="J105">
        <v>11</v>
      </c>
      <c r="K105">
        <v>92</v>
      </c>
      <c r="L105">
        <v>62.1</v>
      </c>
      <c r="M105" t="s">
        <v>64</v>
      </c>
      <c r="N105" t="s">
        <v>28</v>
      </c>
      <c r="O105">
        <v>1366.2</v>
      </c>
      <c r="P105">
        <v>96.4</v>
      </c>
      <c r="Q105" t="s">
        <v>80</v>
      </c>
      <c r="R105">
        <v>1622.38</v>
      </c>
      <c r="S105" t="s">
        <v>30</v>
      </c>
    </row>
    <row r="106" spans="1:19" x14ac:dyDescent="0.3">
      <c r="A106" t="s">
        <v>257</v>
      </c>
      <c r="B106" s="1">
        <v>46091</v>
      </c>
      <c r="C106" t="s">
        <v>56</v>
      </c>
      <c r="D106" t="s">
        <v>57</v>
      </c>
      <c r="E106" t="s">
        <v>258</v>
      </c>
      <c r="F106" t="s">
        <v>63</v>
      </c>
      <c r="G106" t="s">
        <v>24</v>
      </c>
      <c r="H106" t="s">
        <v>25</v>
      </c>
      <c r="I106" t="s">
        <v>26</v>
      </c>
      <c r="J106">
        <v>11</v>
      </c>
      <c r="K106">
        <v>124</v>
      </c>
      <c r="L106">
        <v>8.4</v>
      </c>
      <c r="M106" t="s">
        <v>64</v>
      </c>
      <c r="N106" t="s">
        <v>28</v>
      </c>
      <c r="O106">
        <v>134.4</v>
      </c>
      <c r="P106">
        <v>70.7</v>
      </c>
      <c r="Q106" t="s">
        <v>29</v>
      </c>
      <c r="R106">
        <v>159.6</v>
      </c>
      <c r="S106" t="s">
        <v>30</v>
      </c>
    </row>
    <row r="107" spans="1:19" x14ac:dyDescent="0.3">
      <c r="A107" t="s">
        <v>259</v>
      </c>
      <c r="B107" s="1">
        <v>46030</v>
      </c>
      <c r="C107" t="s">
        <v>20</v>
      </c>
      <c r="D107" t="s">
        <v>21</v>
      </c>
      <c r="E107" t="s">
        <v>260</v>
      </c>
      <c r="F107" t="s">
        <v>35</v>
      </c>
      <c r="G107" t="s">
        <v>24</v>
      </c>
      <c r="H107" t="s">
        <v>25</v>
      </c>
      <c r="I107" t="s">
        <v>38</v>
      </c>
      <c r="J107">
        <v>11</v>
      </c>
      <c r="K107">
        <v>151</v>
      </c>
      <c r="L107">
        <v>0</v>
      </c>
      <c r="M107" t="s">
        <v>27</v>
      </c>
      <c r="N107" t="s">
        <v>98</v>
      </c>
      <c r="O107">
        <v>0</v>
      </c>
      <c r="P107">
        <v>25.3</v>
      </c>
      <c r="Q107" t="s">
        <v>59</v>
      </c>
      <c r="R107">
        <v>0</v>
      </c>
      <c r="S107" t="s">
        <v>41</v>
      </c>
    </row>
    <row r="108" spans="1:19" x14ac:dyDescent="0.3">
      <c r="A108" t="s">
        <v>261</v>
      </c>
      <c r="B108" s="1">
        <v>46168</v>
      </c>
      <c r="C108" t="s">
        <v>51</v>
      </c>
      <c r="D108" t="s">
        <v>51</v>
      </c>
      <c r="E108" t="s">
        <v>262</v>
      </c>
      <c r="F108" t="s">
        <v>63</v>
      </c>
      <c r="G108" t="s">
        <v>36</v>
      </c>
      <c r="H108" t="s">
        <v>37</v>
      </c>
      <c r="I108" t="s">
        <v>26</v>
      </c>
      <c r="J108">
        <v>150</v>
      </c>
      <c r="K108">
        <v>31</v>
      </c>
      <c r="L108">
        <v>13.5</v>
      </c>
      <c r="M108" t="s">
        <v>27</v>
      </c>
      <c r="N108" t="s">
        <v>28</v>
      </c>
      <c r="O108">
        <v>270</v>
      </c>
      <c r="P108">
        <v>76.7</v>
      </c>
      <c r="Q108" t="s">
        <v>40</v>
      </c>
      <c r="R108">
        <v>320.63</v>
      </c>
      <c r="S108" t="s">
        <v>30</v>
      </c>
    </row>
    <row r="109" spans="1:19" x14ac:dyDescent="0.3">
      <c r="A109" t="s">
        <v>263</v>
      </c>
      <c r="B109" s="1">
        <v>46129</v>
      </c>
      <c r="C109" t="s">
        <v>56</v>
      </c>
      <c r="D109" t="s">
        <v>57</v>
      </c>
      <c r="E109" t="s">
        <v>264</v>
      </c>
      <c r="F109" t="s">
        <v>35</v>
      </c>
      <c r="G109" t="s">
        <v>47</v>
      </c>
      <c r="H109" t="s">
        <v>37</v>
      </c>
      <c r="I109" t="s">
        <v>38</v>
      </c>
      <c r="J109">
        <v>120</v>
      </c>
      <c r="K109">
        <v>27</v>
      </c>
      <c r="L109">
        <v>27</v>
      </c>
      <c r="M109" t="s">
        <v>54</v>
      </c>
      <c r="N109" t="s">
        <v>28</v>
      </c>
      <c r="O109">
        <v>594</v>
      </c>
      <c r="P109">
        <v>65.7</v>
      </c>
      <c r="Q109" t="s">
        <v>49</v>
      </c>
      <c r="R109">
        <v>705.38</v>
      </c>
      <c r="S109" t="s">
        <v>30</v>
      </c>
    </row>
    <row r="110" spans="1:19" x14ac:dyDescent="0.3">
      <c r="A110" t="s">
        <v>265</v>
      </c>
      <c r="B110" s="1">
        <v>46124</v>
      </c>
      <c r="C110" t="s">
        <v>43</v>
      </c>
      <c r="D110" t="s">
        <v>44</v>
      </c>
      <c r="E110" t="s">
        <v>266</v>
      </c>
      <c r="F110" t="s">
        <v>23</v>
      </c>
      <c r="G110" t="s">
        <v>36</v>
      </c>
      <c r="H110" t="s">
        <v>37</v>
      </c>
      <c r="I110" t="s">
        <v>26</v>
      </c>
      <c r="J110">
        <v>180</v>
      </c>
      <c r="K110">
        <v>34</v>
      </c>
      <c r="L110">
        <v>17.2</v>
      </c>
      <c r="M110" t="s">
        <v>27</v>
      </c>
      <c r="N110" t="s">
        <v>28</v>
      </c>
      <c r="O110">
        <v>309.60000000000002</v>
      </c>
      <c r="P110">
        <v>53.2</v>
      </c>
      <c r="Q110" t="s">
        <v>49</v>
      </c>
      <c r="R110">
        <v>367.65</v>
      </c>
      <c r="S110" t="s">
        <v>30</v>
      </c>
    </row>
    <row r="111" spans="1:19" x14ac:dyDescent="0.3">
      <c r="A111" t="s">
        <v>267</v>
      </c>
      <c r="B111" s="1">
        <v>46133</v>
      </c>
      <c r="C111" t="s">
        <v>43</v>
      </c>
      <c r="D111" t="s">
        <v>44</v>
      </c>
      <c r="E111" t="s">
        <v>268</v>
      </c>
      <c r="F111" t="s">
        <v>35</v>
      </c>
      <c r="G111" t="s">
        <v>24</v>
      </c>
      <c r="H111" t="s">
        <v>25</v>
      </c>
      <c r="I111" t="s">
        <v>26</v>
      </c>
      <c r="J111">
        <v>22</v>
      </c>
      <c r="K111">
        <v>93</v>
      </c>
      <c r="L111">
        <v>0</v>
      </c>
      <c r="M111" t="s">
        <v>71</v>
      </c>
      <c r="N111" t="s">
        <v>39</v>
      </c>
      <c r="O111">
        <v>0</v>
      </c>
      <c r="P111">
        <v>32.5</v>
      </c>
      <c r="Q111" t="s">
        <v>49</v>
      </c>
      <c r="R111">
        <v>0</v>
      </c>
      <c r="S111" t="s">
        <v>41</v>
      </c>
    </row>
    <row r="112" spans="1:19" x14ac:dyDescent="0.3">
      <c r="A112" t="s">
        <v>269</v>
      </c>
      <c r="B112" s="1">
        <v>46033</v>
      </c>
      <c r="C112" t="s">
        <v>20</v>
      </c>
      <c r="D112" t="s">
        <v>21</v>
      </c>
      <c r="E112" t="s">
        <v>270</v>
      </c>
      <c r="F112" t="s">
        <v>63</v>
      </c>
      <c r="G112" t="s">
        <v>47</v>
      </c>
      <c r="H112" t="s">
        <v>37</v>
      </c>
      <c r="I112" t="s">
        <v>53</v>
      </c>
      <c r="J112">
        <v>120</v>
      </c>
      <c r="K112">
        <v>56</v>
      </c>
      <c r="L112">
        <v>35.1</v>
      </c>
      <c r="M112" t="s">
        <v>54</v>
      </c>
      <c r="N112" t="s">
        <v>28</v>
      </c>
      <c r="O112">
        <v>702</v>
      </c>
      <c r="P112">
        <v>53.2</v>
      </c>
      <c r="Q112" t="s">
        <v>59</v>
      </c>
      <c r="R112">
        <v>833.63</v>
      </c>
      <c r="S112" t="s">
        <v>30</v>
      </c>
    </row>
    <row r="113" spans="1:19" x14ac:dyDescent="0.3">
      <c r="A113" t="s">
        <v>271</v>
      </c>
      <c r="B113" s="1">
        <v>46066</v>
      </c>
      <c r="C113" t="s">
        <v>43</v>
      </c>
      <c r="D113" t="s">
        <v>44</v>
      </c>
      <c r="E113" t="s">
        <v>213</v>
      </c>
      <c r="F113" t="s">
        <v>46</v>
      </c>
      <c r="G113" t="s">
        <v>36</v>
      </c>
      <c r="H113" t="s">
        <v>48</v>
      </c>
      <c r="I113" t="s">
        <v>38</v>
      </c>
      <c r="J113">
        <v>350</v>
      </c>
      <c r="K113">
        <v>37</v>
      </c>
      <c r="L113">
        <v>15.1</v>
      </c>
      <c r="M113" t="s">
        <v>64</v>
      </c>
      <c r="N113" t="s">
        <v>28</v>
      </c>
      <c r="O113">
        <v>302</v>
      </c>
      <c r="P113">
        <v>72.099999999999994</v>
      </c>
      <c r="Q113" t="s">
        <v>80</v>
      </c>
      <c r="R113">
        <v>358.63</v>
      </c>
      <c r="S113" t="s">
        <v>30</v>
      </c>
    </row>
    <row r="114" spans="1:19" x14ac:dyDescent="0.3">
      <c r="A114" t="s">
        <v>272</v>
      </c>
      <c r="B114" s="1">
        <v>46102</v>
      </c>
      <c r="C114" t="s">
        <v>20</v>
      </c>
      <c r="D114" t="s">
        <v>21</v>
      </c>
      <c r="E114" t="s">
        <v>270</v>
      </c>
      <c r="F114" t="s">
        <v>35</v>
      </c>
      <c r="G114" t="s">
        <v>36</v>
      </c>
      <c r="H114" t="s">
        <v>48</v>
      </c>
      <c r="I114" t="s">
        <v>26</v>
      </c>
      <c r="J114">
        <v>150</v>
      </c>
      <c r="K114">
        <v>26</v>
      </c>
      <c r="L114">
        <v>50.4</v>
      </c>
      <c r="M114" t="s">
        <v>64</v>
      </c>
      <c r="N114" t="s">
        <v>28</v>
      </c>
      <c r="O114">
        <v>1108.8</v>
      </c>
      <c r="P114">
        <v>67.099999999999994</v>
      </c>
      <c r="Q114" t="s">
        <v>29</v>
      </c>
      <c r="R114">
        <v>1316.71</v>
      </c>
      <c r="S114" t="s">
        <v>30</v>
      </c>
    </row>
    <row r="115" spans="1:19" x14ac:dyDescent="0.3">
      <c r="A115" t="s">
        <v>273</v>
      </c>
      <c r="B115" s="1">
        <v>46083</v>
      </c>
      <c r="C115" t="s">
        <v>124</v>
      </c>
      <c r="D115" t="s">
        <v>125</v>
      </c>
      <c r="E115" t="s">
        <v>253</v>
      </c>
      <c r="F115" t="s">
        <v>63</v>
      </c>
      <c r="G115" t="s">
        <v>24</v>
      </c>
      <c r="H115" t="s">
        <v>25</v>
      </c>
      <c r="I115" t="s">
        <v>26</v>
      </c>
      <c r="J115">
        <v>7</v>
      </c>
      <c r="K115">
        <v>74</v>
      </c>
      <c r="L115">
        <v>58.9</v>
      </c>
      <c r="M115" t="s">
        <v>64</v>
      </c>
      <c r="N115" t="s">
        <v>28</v>
      </c>
      <c r="O115">
        <v>824.6</v>
      </c>
      <c r="P115">
        <v>46.2</v>
      </c>
      <c r="Q115" t="s">
        <v>29</v>
      </c>
      <c r="R115">
        <v>979.22</v>
      </c>
      <c r="S115" t="s">
        <v>30</v>
      </c>
    </row>
    <row r="116" spans="1:19" x14ac:dyDescent="0.3">
      <c r="A116" t="s">
        <v>274</v>
      </c>
      <c r="B116" s="1">
        <v>46167</v>
      </c>
      <c r="C116" t="s">
        <v>85</v>
      </c>
      <c r="D116" t="s">
        <v>86</v>
      </c>
      <c r="E116" t="s">
        <v>173</v>
      </c>
      <c r="F116" t="s">
        <v>46</v>
      </c>
      <c r="G116" t="s">
        <v>36</v>
      </c>
      <c r="H116" t="s">
        <v>48</v>
      </c>
      <c r="I116" t="s">
        <v>38</v>
      </c>
      <c r="J116">
        <v>350</v>
      </c>
      <c r="K116">
        <v>12</v>
      </c>
      <c r="L116">
        <v>39.4</v>
      </c>
      <c r="M116" t="s">
        <v>64</v>
      </c>
      <c r="N116" t="s">
        <v>28</v>
      </c>
      <c r="O116">
        <v>709.2</v>
      </c>
      <c r="P116">
        <v>85.2</v>
      </c>
      <c r="Q116" t="s">
        <v>40</v>
      </c>
      <c r="R116">
        <v>842.18</v>
      </c>
      <c r="S116" t="s">
        <v>30</v>
      </c>
    </row>
    <row r="117" spans="1:19" x14ac:dyDescent="0.3">
      <c r="A117" t="s">
        <v>275</v>
      </c>
      <c r="B117" s="1">
        <v>46152</v>
      </c>
      <c r="C117" t="s">
        <v>43</v>
      </c>
      <c r="D117" t="s">
        <v>44</v>
      </c>
      <c r="E117" t="s">
        <v>276</v>
      </c>
      <c r="F117" t="s">
        <v>35</v>
      </c>
      <c r="G117" t="s">
        <v>24</v>
      </c>
      <c r="H117" t="s">
        <v>25</v>
      </c>
      <c r="I117" t="s">
        <v>53</v>
      </c>
      <c r="J117">
        <v>7</v>
      </c>
      <c r="K117">
        <v>49</v>
      </c>
      <c r="L117">
        <v>0</v>
      </c>
      <c r="M117" t="s">
        <v>71</v>
      </c>
      <c r="N117" t="s">
        <v>98</v>
      </c>
      <c r="O117">
        <v>0</v>
      </c>
      <c r="P117">
        <v>26.6</v>
      </c>
      <c r="Q117" t="s">
        <v>40</v>
      </c>
      <c r="R117">
        <v>0</v>
      </c>
      <c r="S117" t="s">
        <v>41</v>
      </c>
    </row>
    <row r="118" spans="1:19" x14ac:dyDescent="0.3">
      <c r="A118" t="s">
        <v>277</v>
      </c>
      <c r="B118" s="1">
        <v>46152</v>
      </c>
      <c r="C118" t="s">
        <v>20</v>
      </c>
      <c r="D118" t="s">
        <v>21</v>
      </c>
      <c r="E118" t="s">
        <v>278</v>
      </c>
      <c r="F118" t="s">
        <v>46</v>
      </c>
      <c r="G118" t="s">
        <v>47</v>
      </c>
      <c r="H118" t="s">
        <v>48</v>
      </c>
      <c r="I118" t="s">
        <v>38</v>
      </c>
      <c r="J118">
        <v>50</v>
      </c>
      <c r="K118">
        <v>40</v>
      </c>
      <c r="L118">
        <v>0</v>
      </c>
      <c r="M118" t="s">
        <v>54</v>
      </c>
      <c r="N118" t="s">
        <v>98</v>
      </c>
      <c r="O118">
        <v>0</v>
      </c>
      <c r="P118">
        <v>37.200000000000003</v>
      </c>
      <c r="Q118" t="s">
        <v>40</v>
      </c>
      <c r="R118">
        <v>0</v>
      </c>
      <c r="S118" t="s">
        <v>41</v>
      </c>
    </row>
    <row r="119" spans="1:19" x14ac:dyDescent="0.3">
      <c r="A119" t="s">
        <v>279</v>
      </c>
      <c r="B119" s="1">
        <v>46138</v>
      </c>
      <c r="C119" t="s">
        <v>61</v>
      </c>
      <c r="D119" t="s">
        <v>33</v>
      </c>
      <c r="E119" t="s">
        <v>102</v>
      </c>
      <c r="F119" t="s">
        <v>63</v>
      </c>
      <c r="G119" t="s">
        <v>24</v>
      </c>
      <c r="H119" t="s">
        <v>25</v>
      </c>
      <c r="I119" t="s">
        <v>53</v>
      </c>
      <c r="J119">
        <v>22</v>
      </c>
      <c r="K119">
        <v>79</v>
      </c>
      <c r="L119">
        <v>0</v>
      </c>
      <c r="M119" t="s">
        <v>54</v>
      </c>
      <c r="N119" t="s">
        <v>39</v>
      </c>
      <c r="O119">
        <v>0</v>
      </c>
      <c r="P119">
        <v>11.8</v>
      </c>
      <c r="Q119" t="s">
        <v>49</v>
      </c>
      <c r="R119">
        <v>0</v>
      </c>
      <c r="S119" t="s">
        <v>41</v>
      </c>
    </row>
    <row r="120" spans="1:19" x14ac:dyDescent="0.3">
      <c r="A120" t="s">
        <v>280</v>
      </c>
      <c r="B120" s="1">
        <v>46156</v>
      </c>
      <c r="C120" t="s">
        <v>85</v>
      </c>
      <c r="D120" t="s">
        <v>86</v>
      </c>
      <c r="E120" t="s">
        <v>281</v>
      </c>
      <c r="F120" t="s">
        <v>35</v>
      </c>
      <c r="G120" t="s">
        <v>36</v>
      </c>
      <c r="H120" t="s">
        <v>37</v>
      </c>
      <c r="I120" t="s">
        <v>53</v>
      </c>
      <c r="J120">
        <v>350</v>
      </c>
      <c r="K120">
        <v>23</v>
      </c>
      <c r="L120">
        <v>59.9</v>
      </c>
      <c r="M120" t="s">
        <v>64</v>
      </c>
      <c r="N120" t="s">
        <v>28</v>
      </c>
      <c r="O120">
        <v>1317.8</v>
      </c>
      <c r="P120">
        <v>38.299999999999997</v>
      </c>
      <c r="Q120" t="s">
        <v>40</v>
      </c>
      <c r="R120">
        <v>1564.9</v>
      </c>
      <c r="S120" t="s">
        <v>30</v>
      </c>
    </row>
    <row r="121" spans="1:19" x14ac:dyDescent="0.3">
      <c r="A121" t="s">
        <v>282</v>
      </c>
      <c r="B121" s="1">
        <v>46047</v>
      </c>
      <c r="C121" t="s">
        <v>20</v>
      </c>
      <c r="D121" t="s">
        <v>21</v>
      </c>
      <c r="E121" t="s">
        <v>283</v>
      </c>
      <c r="F121" t="s">
        <v>83</v>
      </c>
      <c r="G121" t="s">
        <v>36</v>
      </c>
      <c r="H121" t="s">
        <v>48</v>
      </c>
      <c r="I121" t="s">
        <v>53</v>
      </c>
      <c r="J121">
        <v>180</v>
      </c>
      <c r="K121">
        <v>20</v>
      </c>
      <c r="L121">
        <v>0</v>
      </c>
      <c r="M121" t="s">
        <v>64</v>
      </c>
      <c r="N121" t="s">
        <v>39</v>
      </c>
      <c r="O121">
        <v>0</v>
      </c>
      <c r="P121">
        <v>13.7</v>
      </c>
      <c r="Q121" t="s">
        <v>59</v>
      </c>
      <c r="R121">
        <v>0</v>
      </c>
      <c r="S121" t="s">
        <v>41</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335FE-57F1-4294-A07A-C30E840B4E57}">
  <dimension ref="A2:H53"/>
  <sheetViews>
    <sheetView showGridLines="0" showRowColHeaders="0" zoomScale="98" workbookViewId="0">
      <selection activeCell="A15" sqref="A13:A22"/>
      <pivotSelection pane="bottomRight" showHeader="1" axis="axisRow" activeRow="14" previousRow="14" click="1" r:id="rId10">
        <pivotArea dataOnly="0" labelOnly="1" fieldPosition="0">
          <references count="1">
            <reference field="2" count="0"/>
          </references>
        </pivotArea>
      </pivotSelection>
    </sheetView>
  </sheetViews>
  <sheetFormatPr defaultRowHeight="14.4" x14ac:dyDescent="0.3"/>
  <cols>
    <col min="1" max="1" width="16.44140625" bestFit="1" customWidth="1"/>
    <col min="2" max="2" width="18.109375" bestFit="1" customWidth="1"/>
    <col min="3" max="3" width="13.6640625" customWidth="1"/>
    <col min="4" max="4" width="12.77734375" bestFit="1" customWidth="1"/>
    <col min="5" max="5" width="17.77734375" bestFit="1" customWidth="1"/>
    <col min="6" max="6" width="12.88671875" customWidth="1"/>
    <col min="7" max="7" width="16.44140625" bestFit="1" customWidth="1"/>
    <col min="8" max="8" width="18.109375" bestFit="1" customWidth="1"/>
    <col min="9" max="10" width="17.77734375" bestFit="1" customWidth="1"/>
  </cols>
  <sheetData>
    <row r="2" spans="1:8" ht="15.6" x14ac:dyDescent="0.3">
      <c r="A2" s="9" t="s">
        <v>321</v>
      </c>
      <c r="B2" s="10"/>
    </row>
    <row r="3" spans="1:8" x14ac:dyDescent="0.3">
      <c r="A3" s="7" t="s">
        <v>4</v>
      </c>
      <c r="B3" s="7" t="s">
        <v>322</v>
      </c>
      <c r="D3" s="11" t="e" vm="1">
        <v>#VALUE!</v>
      </c>
      <c r="G3" s="3" t="s">
        <v>316</v>
      </c>
      <c r="H3" t="s">
        <v>315</v>
      </c>
    </row>
    <row r="4" spans="1:8" x14ac:dyDescent="0.3">
      <c r="A4" s="5" t="s">
        <v>270</v>
      </c>
      <c r="B4" s="6">
        <v>1810.8</v>
      </c>
      <c r="D4" s="3" t="s">
        <v>316</v>
      </c>
      <c r="E4" t="s">
        <v>315</v>
      </c>
      <c r="G4" s="4" t="s">
        <v>71</v>
      </c>
      <c r="H4" s="11">
        <v>3933.6</v>
      </c>
    </row>
    <row r="5" spans="1:8" x14ac:dyDescent="0.3">
      <c r="A5" s="5" t="s">
        <v>75</v>
      </c>
      <c r="B5" s="12">
        <v>1300.2</v>
      </c>
      <c r="D5" s="4" t="s">
        <v>59</v>
      </c>
      <c r="E5" s="11">
        <v>3467</v>
      </c>
      <c r="G5" s="4" t="s">
        <v>27</v>
      </c>
      <c r="H5" s="11">
        <v>1429.8</v>
      </c>
    </row>
    <row r="6" spans="1:8" x14ac:dyDescent="0.3">
      <c r="A6" s="5" t="s">
        <v>114</v>
      </c>
      <c r="B6" s="12">
        <v>1075.2</v>
      </c>
      <c r="D6" s="4" t="s">
        <v>80</v>
      </c>
      <c r="E6" s="11">
        <v>1643</v>
      </c>
      <c r="G6" s="4" t="s">
        <v>54</v>
      </c>
      <c r="H6" s="11">
        <v>3811.6</v>
      </c>
    </row>
    <row r="7" spans="1:8" x14ac:dyDescent="0.3">
      <c r="A7" s="5" t="s">
        <v>154</v>
      </c>
      <c r="B7" s="12">
        <v>1057.5999999999999</v>
      </c>
      <c r="D7" s="4" t="s">
        <v>29</v>
      </c>
      <c r="E7" s="11">
        <v>2206.1999999999998</v>
      </c>
      <c r="G7" s="4" t="s">
        <v>64</v>
      </c>
      <c r="H7" s="11">
        <v>4814.2</v>
      </c>
    </row>
    <row r="8" spans="1:8" x14ac:dyDescent="0.3">
      <c r="A8" s="5" t="s">
        <v>135</v>
      </c>
      <c r="B8" s="12">
        <v>844.2</v>
      </c>
      <c r="D8" s="4" t="s">
        <v>49</v>
      </c>
      <c r="E8" s="11">
        <v>4795.8</v>
      </c>
      <c r="G8" s="4" t="s">
        <v>317</v>
      </c>
      <c r="H8" s="11">
        <v>13989.2</v>
      </c>
    </row>
    <row r="9" spans="1:8" x14ac:dyDescent="0.3">
      <c r="D9" s="4" t="s">
        <v>40</v>
      </c>
      <c r="E9" s="11">
        <v>1877.2</v>
      </c>
    </row>
    <row r="10" spans="1:8" x14ac:dyDescent="0.3">
      <c r="D10" s="4" t="s">
        <v>317</v>
      </c>
      <c r="E10" s="11">
        <v>13989.2</v>
      </c>
    </row>
    <row r="11" spans="1:8" x14ac:dyDescent="0.3">
      <c r="G11" s="3" t="s">
        <v>316</v>
      </c>
      <c r="H11" t="s">
        <v>315</v>
      </c>
    </row>
    <row r="12" spans="1:8" x14ac:dyDescent="0.3">
      <c r="A12" s="3" t="s">
        <v>316</v>
      </c>
      <c r="B12" t="s">
        <v>315</v>
      </c>
      <c r="G12" s="4" t="s">
        <v>38</v>
      </c>
      <c r="H12" s="11">
        <v>2650.6</v>
      </c>
    </row>
    <row r="13" spans="1:8" x14ac:dyDescent="0.3">
      <c r="A13" s="4" t="s">
        <v>43</v>
      </c>
      <c r="B13" s="11">
        <v>745.2</v>
      </c>
      <c r="D13" s="3" t="s">
        <v>316</v>
      </c>
      <c r="E13" t="s">
        <v>318</v>
      </c>
      <c r="G13" s="4" t="s">
        <v>26</v>
      </c>
      <c r="H13" s="11">
        <v>8015.2</v>
      </c>
    </row>
    <row r="14" spans="1:8" x14ac:dyDescent="0.3">
      <c r="A14" s="4" t="s">
        <v>124</v>
      </c>
      <c r="B14" s="11">
        <v>1392.6</v>
      </c>
      <c r="D14" s="4" t="s">
        <v>24</v>
      </c>
      <c r="E14" s="11">
        <v>192</v>
      </c>
      <c r="G14" s="4" t="s">
        <v>53</v>
      </c>
      <c r="H14" s="11">
        <v>3323.3999999999996</v>
      </c>
    </row>
    <row r="15" spans="1:8" x14ac:dyDescent="0.3">
      <c r="A15" s="4" t="s">
        <v>51</v>
      </c>
      <c r="B15" s="11">
        <v>2841.4</v>
      </c>
      <c r="D15" s="4" t="s">
        <v>47</v>
      </c>
      <c r="E15" s="11">
        <v>185.7</v>
      </c>
      <c r="G15" s="4" t="s">
        <v>317</v>
      </c>
      <c r="H15" s="11">
        <v>13989.199999999999</v>
      </c>
    </row>
    <row r="16" spans="1:8" x14ac:dyDescent="0.3">
      <c r="A16" s="4" t="s">
        <v>20</v>
      </c>
      <c r="B16" s="11">
        <v>3688.4</v>
      </c>
      <c r="D16" s="4" t="s">
        <v>36</v>
      </c>
      <c r="E16" s="11">
        <v>414.4</v>
      </c>
    </row>
    <row r="17" spans="1:8" x14ac:dyDescent="0.3">
      <c r="A17" s="4" t="s">
        <v>61</v>
      </c>
      <c r="B17" s="11">
        <v>3677.8</v>
      </c>
      <c r="D17" s="4" t="s">
        <v>317</v>
      </c>
      <c r="E17" s="11">
        <v>792.09999999999991</v>
      </c>
    </row>
    <row r="18" spans="1:8" x14ac:dyDescent="0.3">
      <c r="A18" s="4" t="s">
        <v>32</v>
      </c>
      <c r="B18" s="11">
        <v>1643.8</v>
      </c>
    </row>
    <row r="19" spans="1:8" x14ac:dyDescent="0.3">
      <c r="A19" s="4" t="s">
        <v>317</v>
      </c>
      <c r="B19" s="11">
        <v>13989.2</v>
      </c>
      <c r="D19" s="3" t="s">
        <v>316</v>
      </c>
      <c r="E19" t="s">
        <v>319</v>
      </c>
      <c r="G19" s="3" t="s">
        <v>316</v>
      </c>
      <c r="H19" t="s">
        <v>315</v>
      </c>
    </row>
    <row r="20" spans="1:8" x14ac:dyDescent="0.3">
      <c r="D20" s="4" t="s">
        <v>98</v>
      </c>
      <c r="E20" s="11">
        <v>5</v>
      </c>
      <c r="G20" s="4" t="s">
        <v>52</v>
      </c>
      <c r="H20" s="11">
        <v>0</v>
      </c>
    </row>
    <row r="21" spans="1:8" x14ac:dyDescent="0.3">
      <c r="D21" s="4" t="s">
        <v>28</v>
      </c>
      <c r="E21" s="11">
        <v>21</v>
      </c>
      <c r="G21" s="4" t="s">
        <v>181</v>
      </c>
      <c r="H21" s="11">
        <v>0</v>
      </c>
    </row>
    <row r="22" spans="1:8" x14ac:dyDescent="0.3">
      <c r="D22" s="4" t="s">
        <v>39</v>
      </c>
      <c r="E22" s="11">
        <v>8</v>
      </c>
      <c r="G22" s="4" t="s">
        <v>260</v>
      </c>
      <c r="H22" s="11">
        <v>0</v>
      </c>
    </row>
    <row r="23" spans="1:8" x14ac:dyDescent="0.3">
      <c r="D23" s="4" t="s">
        <v>317</v>
      </c>
      <c r="E23" s="11">
        <v>34</v>
      </c>
      <c r="G23" s="4" t="s">
        <v>268</v>
      </c>
      <c r="H23" s="11">
        <v>0</v>
      </c>
    </row>
    <row r="24" spans="1:8" x14ac:dyDescent="0.3">
      <c r="G24" s="4" t="s">
        <v>165</v>
      </c>
      <c r="H24" s="11">
        <v>0</v>
      </c>
    </row>
    <row r="25" spans="1:8" x14ac:dyDescent="0.3">
      <c r="G25" s="4" t="s">
        <v>217</v>
      </c>
      <c r="H25" s="11">
        <v>0</v>
      </c>
    </row>
    <row r="26" spans="1:8" x14ac:dyDescent="0.3">
      <c r="G26" s="4" t="s">
        <v>102</v>
      </c>
      <c r="H26" s="11">
        <v>0</v>
      </c>
    </row>
    <row r="27" spans="1:8" x14ac:dyDescent="0.3">
      <c r="G27" s="4" t="s">
        <v>276</v>
      </c>
      <c r="H27" s="11">
        <v>0</v>
      </c>
    </row>
    <row r="28" spans="1:8" x14ac:dyDescent="0.3">
      <c r="G28" s="4" t="s">
        <v>34</v>
      </c>
      <c r="H28" s="11">
        <v>0</v>
      </c>
    </row>
    <row r="29" spans="1:8" x14ac:dyDescent="0.3">
      <c r="G29" s="4" t="s">
        <v>171</v>
      </c>
      <c r="H29" s="11">
        <v>0</v>
      </c>
    </row>
    <row r="30" spans="1:8" x14ac:dyDescent="0.3">
      <c r="G30" s="4" t="s">
        <v>188</v>
      </c>
      <c r="H30" s="11">
        <v>0</v>
      </c>
    </row>
    <row r="31" spans="1:8" x14ac:dyDescent="0.3">
      <c r="G31" s="4" t="s">
        <v>126</v>
      </c>
      <c r="H31" s="11">
        <v>0</v>
      </c>
    </row>
    <row r="32" spans="1:8" x14ac:dyDescent="0.3">
      <c r="G32" s="4" t="s">
        <v>108</v>
      </c>
      <c r="H32" s="11">
        <v>0</v>
      </c>
    </row>
    <row r="33" spans="1:8" x14ac:dyDescent="0.3">
      <c r="D33" s="3" t="s">
        <v>316</v>
      </c>
      <c r="E33" t="s">
        <v>315</v>
      </c>
      <c r="G33" s="4" t="s">
        <v>317</v>
      </c>
      <c r="H33" s="11">
        <v>0</v>
      </c>
    </row>
    <row r="34" spans="1:8" x14ac:dyDescent="0.3">
      <c r="D34" s="4" t="s">
        <v>43</v>
      </c>
      <c r="E34" s="11">
        <v>745.2</v>
      </c>
    </row>
    <row r="35" spans="1:8" x14ac:dyDescent="0.3">
      <c r="D35" s="4" t="s">
        <v>124</v>
      </c>
      <c r="E35" s="11">
        <v>1392.6</v>
      </c>
    </row>
    <row r="36" spans="1:8" x14ac:dyDescent="0.3">
      <c r="D36" s="4" t="s">
        <v>51</v>
      </c>
      <c r="E36" s="11">
        <v>2841.4</v>
      </c>
    </row>
    <row r="37" spans="1:8" x14ac:dyDescent="0.3">
      <c r="D37" s="4" t="s">
        <v>20</v>
      </c>
      <c r="E37" s="11">
        <v>3688.4</v>
      </c>
    </row>
    <row r="38" spans="1:8" x14ac:dyDescent="0.3">
      <c r="D38" s="4" t="s">
        <v>61</v>
      </c>
      <c r="E38" s="11">
        <v>3677.8</v>
      </c>
    </row>
    <row r="39" spans="1:8" x14ac:dyDescent="0.3">
      <c r="D39" s="4" t="s">
        <v>32</v>
      </c>
      <c r="E39" s="11">
        <v>1643.8</v>
      </c>
    </row>
    <row r="40" spans="1:8" x14ac:dyDescent="0.3">
      <c r="D40" s="4" t="s">
        <v>317</v>
      </c>
      <c r="E40" s="11">
        <v>13989.2</v>
      </c>
    </row>
    <row r="41" spans="1:8" x14ac:dyDescent="0.3">
      <c r="A41" s="3" t="s">
        <v>316</v>
      </c>
      <c r="B41" t="s">
        <v>315</v>
      </c>
    </row>
    <row r="42" spans="1:8" x14ac:dyDescent="0.3">
      <c r="A42" s="4" t="s">
        <v>71</v>
      </c>
      <c r="B42" s="11">
        <v>3933.6</v>
      </c>
    </row>
    <row r="43" spans="1:8" x14ac:dyDescent="0.3">
      <c r="A43" s="4" t="s">
        <v>27</v>
      </c>
      <c r="B43" s="11">
        <v>1429.8</v>
      </c>
    </row>
    <row r="44" spans="1:8" x14ac:dyDescent="0.3">
      <c r="A44" s="4" t="s">
        <v>54</v>
      </c>
      <c r="B44" s="11">
        <v>3811.6</v>
      </c>
    </row>
    <row r="45" spans="1:8" x14ac:dyDescent="0.3">
      <c r="A45" s="4" t="s">
        <v>64</v>
      </c>
      <c r="B45" s="11">
        <v>4814.2</v>
      </c>
    </row>
    <row r="46" spans="1:8" x14ac:dyDescent="0.3">
      <c r="A46" s="4" t="s">
        <v>317</v>
      </c>
      <c r="B46" s="11">
        <v>13989.2</v>
      </c>
    </row>
    <row r="49" spans="1:2" x14ac:dyDescent="0.3">
      <c r="A49" s="3" t="s">
        <v>316</v>
      </c>
      <c r="B49" t="s">
        <v>315</v>
      </c>
    </row>
    <row r="50" spans="1:2" x14ac:dyDescent="0.3">
      <c r="A50" s="4" t="s">
        <v>38</v>
      </c>
      <c r="B50" s="11">
        <v>2650.6</v>
      </c>
    </row>
    <row r="51" spans="1:2" x14ac:dyDescent="0.3">
      <c r="A51" s="4" t="s">
        <v>26</v>
      </c>
      <c r="B51" s="11">
        <v>8015.2</v>
      </c>
    </row>
    <row r="52" spans="1:2" x14ac:dyDescent="0.3">
      <c r="A52" s="4" t="s">
        <v>53</v>
      </c>
      <c r="B52" s="11">
        <v>3323.3999999999996</v>
      </c>
    </row>
    <row r="53" spans="1:2" x14ac:dyDescent="0.3">
      <c r="A53" s="4" t="s">
        <v>317</v>
      </c>
      <c r="B53" s="11">
        <v>13989.199999999999</v>
      </c>
    </row>
  </sheetData>
  <mergeCells count="1">
    <mergeCell ref="A2:B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B1536-59E7-476E-AE94-B69E0C4EBF4C}">
  <dimension ref="AI20:AI22"/>
  <sheetViews>
    <sheetView tabSelected="1" zoomScale="74" zoomScaleNormal="130" workbookViewId="0">
      <selection activeCell="T16" sqref="T16"/>
    </sheetView>
  </sheetViews>
  <sheetFormatPr defaultRowHeight="14.4" x14ac:dyDescent="0.3"/>
  <cols>
    <col min="1" max="16384" width="8.88671875" style="8"/>
  </cols>
  <sheetData>
    <row r="20" spans="35:35" x14ac:dyDescent="0.3">
      <c r="AI20" s="8">
        <v>6</v>
      </c>
    </row>
    <row r="22" spans="35:35" ht="15.6" customHeight="1"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4"/>
  <sheetViews>
    <sheetView zoomScale="162" workbookViewId="0">
      <pane ySplit="1" topLeftCell="A2" activePane="bottomLeft" state="frozen"/>
      <selection pane="bottomLeft" activeCell="B14" sqref="B14"/>
    </sheetView>
  </sheetViews>
  <sheetFormatPr defaultRowHeight="14.4" x14ac:dyDescent="0.3"/>
  <cols>
    <col min="1" max="1" width="33.77734375" bestFit="1" customWidth="1"/>
    <col min="2" max="2" width="28" customWidth="1"/>
  </cols>
  <sheetData>
    <row r="1" spans="1:4" x14ac:dyDescent="0.3">
      <c r="A1" s="2" t="s">
        <v>284</v>
      </c>
      <c r="B1" s="2" t="s">
        <v>285</v>
      </c>
    </row>
    <row r="2" spans="1:4" x14ac:dyDescent="0.3">
      <c r="A2" t="s">
        <v>286</v>
      </c>
      <c r="B2" t="s">
        <v>287</v>
      </c>
      <c r="D2">
        <f>COUNTA('EV Charging Data'!A:A)</f>
        <v>121</v>
      </c>
    </row>
    <row r="3" spans="1:4" x14ac:dyDescent="0.3">
      <c r="A3" t="s">
        <v>288</v>
      </c>
      <c r="B3" t="s">
        <v>289</v>
      </c>
      <c r="D3">
        <f>SUM('EV Charging Data'!L:L)</f>
        <v>2865.9000000000005</v>
      </c>
    </row>
    <row r="4" spans="1:4" x14ac:dyDescent="0.3">
      <c r="A4" t="s">
        <v>290</v>
      </c>
      <c r="B4" t="s">
        <v>289</v>
      </c>
      <c r="D4">
        <f>SUM('EV Charging Data'!O:O)</f>
        <v>51738.599999999991</v>
      </c>
    </row>
    <row r="5" spans="1:4" x14ac:dyDescent="0.3">
      <c r="A5" t="s">
        <v>291</v>
      </c>
      <c r="B5" t="s">
        <v>292</v>
      </c>
      <c r="D5">
        <f>AVERAGE('EV Charging Data'!K:K)</f>
        <v>67.791666666666671</v>
      </c>
    </row>
    <row r="6" spans="1:4" x14ac:dyDescent="0.3">
      <c r="A6" t="s">
        <v>293</v>
      </c>
      <c r="B6" t="s">
        <v>292</v>
      </c>
      <c r="D6">
        <f>AVERAGE('EV Charging Data'!P:P)</f>
        <v>54.312499999999993</v>
      </c>
    </row>
    <row r="7" spans="1:4" x14ac:dyDescent="0.3">
      <c r="A7" t="s">
        <v>294</v>
      </c>
      <c r="B7" t="s">
        <v>295</v>
      </c>
    </row>
    <row r="8" spans="1:4" x14ac:dyDescent="0.3">
      <c r="A8" t="s">
        <v>296</v>
      </c>
      <c r="B8" t="s">
        <v>297</v>
      </c>
    </row>
    <row r="9" spans="1:4" x14ac:dyDescent="0.3">
      <c r="A9" t="s">
        <v>298</v>
      </c>
      <c r="B9" t="s">
        <v>299</v>
      </c>
      <c r="D9" t="s">
        <v>320</v>
      </c>
    </row>
    <row r="10" spans="1:4" x14ac:dyDescent="0.3">
      <c r="A10" t="s">
        <v>300</v>
      </c>
      <c r="B10" t="s">
        <v>301</v>
      </c>
      <c r="D10" t="s">
        <v>320</v>
      </c>
    </row>
    <row r="11" spans="1:4" x14ac:dyDescent="0.3">
      <c r="A11" t="s">
        <v>302</v>
      </c>
      <c r="B11" t="s">
        <v>303</v>
      </c>
      <c r="D11" t="s">
        <v>320</v>
      </c>
    </row>
    <row r="12" spans="1:4" x14ac:dyDescent="0.3">
      <c r="A12" t="s">
        <v>304</v>
      </c>
      <c r="B12" t="s">
        <v>305</v>
      </c>
      <c r="D12" t="s">
        <v>320</v>
      </c>
    </row>
    <row r="13" spans="1:4" x14ac:dyDescent="0.3">
      <c r="A13" t="s">
        <v>306</v>
      </c>
      <c r="B13" t="s">
        <v>307</v>
      </c>
      <c r="D13" t="s">
        <v>320</v>
      </c>
    </row>
    <row r="14" spans="1:4" x14ac:dyDescent="0.3">
      <c r="A14" t="s">
        <v>308</v>
      </c>
      <c r="B14" t="s">
        <v>307</v>
      </c>
      <c r="D14" t="s">
        <v>320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1"/>
  <sheetViews>
    <sheetView workbookViewId="0">
      <pane ySplit="1" topLeftCell="A2" activePane="bottomLeft" state="frozen"/>
      <selection pane="bottomLeft" activeCell="C18" sqref="C18"/>
    </sheetView>
  </sheetViews>
  <sheetFormatPr defaultRowHeight="14.4" x14ac:dyDescent="0.3"/>
  <cols>
    <col min="1" max="1" width="12" customWidth="1"/>
    <col min="2" max="2" width="15" customWidth="1"/>
    <col min="3" max="3" width="20" customWidth="1"/>
    <col min="4" max="5" width="15" customWidth="1"/>
  </cols>
  <sheetData>
    <row r="1" spans="1:5" x14ac:dyDescent="0.3">
      <c r="A1" s="2" t="s">
        <v>309</v>
      </c>
      <c r="B1" s="2" t="s">
        <v>310</v>
      </c>
      <c r="C1" s="2" t="s">
        <v>311</v>
      </c>
      <c r="D1" s="2" t="s">
        <v>312</v>
      </c>
      <c r="E1" s="2" t="s">
        <v>313</v>
      </c>
    </row>
    <row r="2" spans="1:5" x14ac:dyDescent="0.3">
      <c r="A2" t="s">
        <v>77</v>
      </c>
      <c r="B2" t="s">
        <v>24</v>
      </c>
      <c r="C2" t="s">
        <v>38</v>
      </c>
      <c r="D2" t="s">
        <v>71</v>
      </c>
      <c r="E2" t="s">
        <v>83</v>
      </c>
    </row>
    <row r="3" spans="1:5" x14ac:dyDescent="0.3">
      <c r="A3" t="s">
        <v>43</v>
      </c>
      <c r="B3" t="s">
        <v>47</v>
      </c>
      <c r="C3" t="s">
        <v>26</v>
      </c>
      <c r="D3" t="s">
        <v>27</v>
      </c>
      <c r="E3" t="s">
        <v>35</v>
      </c>
    </row>
    <row r="4" spans="1:5" x14ac:dyDescent="0.3">
      <c r="A4" t="s">
        <v>124</v>
      </c>
      <c r="B4" t="s">
        <v>36</v>
      </c>
      <c r="C4" t="s">
        <v>53</v>
      </c>
      <c r="D4" t="s">
        <v>54</v>
      </c>
      <c r="E4" t="s">
        <v>63</v>
      </c>
    </row>
    <row r="5" spans="1:5" x14ac:dyDescent="0.3">
      <c r="A5" t="s">
        <v>51</v>
      </c>
      <c r="D5" t="s">
        <v>64</v>
      </c>
      <c r="E5" t="s">
        <v>23</v>
      </c>
    </row>
    <row r="6" spans="1:5" x14ac:dyDescent="0.3">
      <c r="A6" t="s">
        <v>120</v>
      </c>
      <c r="E6" t="s">
        <v>46</v>
      </c>
    </row>
    <row r="7" spans="1:5" x14ac:dyDescent="0.3">
      <c r="A7" t="s">
        <v>20</v>
      </c>
    </row>
    <row r="8" spans="1:5" x14ac:dyDescent="0.3">
      <c r="A8" t="s">
        <v>56</v>
      </c>
    </row>
    <row r="9" spans="1:5" x14ac:dyDescent="0.3">
      <c r="A9" t="s">
        <v>61</v>
      </c>
    </row>
    <row r="10" spans="1:5" x14ac:dyDescent="0.3">
      <c r="A10" t="s">
        <v>85</v>
      </c>
    </row>
    <row r="11" spans="1:5" x14ac:dyDescent="0.3">
      <c r="A11" t="s">
        <v>32</v>
      </c>
    </row>
  </sheetData>
  <autoFilter ref="C1:C11" xr:uid="{00000000-0001-0000-02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EV Charging Data</vt:lpstr>
      <vt:lpstr>Sheet1</vt:lpstr>
      <vt:lpstr>Sheet2</vt:lpstr>
      <vt:lpstr>Dashboard Plan</vt:lpstr>
      <vt:lpstr>Filter 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Divya S</cp:lastModifiedBy>
  <dcterms:created xsi:type="dcterms:W3CDTF">2026-08-26T11:46:57Z</dcterms:created>
  <dcterms:modified xsi:type="dcterms:W3CDTF">2026-10-10T07:49:42Z</dcterms:modified>
</cp:coreProperties>
</file>